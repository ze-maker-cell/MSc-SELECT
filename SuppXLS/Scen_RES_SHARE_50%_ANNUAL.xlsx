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2026\MSc_SELECT-main\SuppXLS\"/>
    </mc:Choice>
  </mc:AlternateContent>
  <xr:revisionPtr revIDLastSave="0" documentId="13_ncr:1_{DDAC8148-7458-4C19-BBD4-8813B89858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I8" i="1"/>
  <c r="J8" i="1"/>
  <c r="K8" i="1"/>
  <c r="G8" i="1"/>
  <c r="K27" i="1"/>
  <c r="K22" i="1" s="1"/>
  <c r="J27" i="1"/>
  <c r="J22" i="1" s="1"/>
  <c r="H27" i="1"/>
  <c r="H22" i="1" s="1"/>
  <c r="F27" i="1"/>
  <c r="F22" i="1" s="1"/>
  <c r="I22" i="1"/>
  <c r="G22" i="1"/>
  <c r="E22" i="1"/>
</calcChain>
</file>

<file path=xl/sharedStrings.xml><?xml version="1.0" encoding="utf-8"?>
<sst xmlns="http://schemas.openxmlformats.org/spreadsheetml/2006/main" count="37" uniqueCount="37">
  <si>
    <t>~UC_T</t>
  </si>
  <si>
    <t>UC_N</t>
  </si>
  <si>
    <t>Pset_PN</t>
  </si>
  <si>
    <t>Cset_CN</t>
  </si>
  <si>
    <t>LimType</t>
  </si>
  <si>
    <t>UC_FLO</t>
  </si>
  <si>
    <t>UC_RHSRTS~0</t>
  </si>
  <si>
    <t>UC_Desc</t>
  </si>
  <si>
    <t>UC_RES_50_ANNUAL</t>
  </si>
  <si>
    <t>ELC_FIN_DEM</t>
  </si>
  <si>
    <t>ELC_GRID_RES</t>
  </si>
  <si>
    <t>FX</t>
  </si>
  <si>
    <t>\I: Name of the constraint</t>
  </si>
  <si>
    <t>Process filter: process name</t>
  </si>
  <si>
    <t>Commodiy filter: commodity name</t>
  </si>
  <si>
    <t>Lim type in the euqation</t>
  </si>
  <si>
    <t>Coefficient next to  VAR_FLO</t>
  </si>
  <si>
    <t>Value of the RHS</t>
  </si>
  <si>
    <t>Interpolation code</t>
  </si>
  <si>
    <t>Description</t>
  </si>
  <si>
    <t>CommName</t>
  </si>
  <si>
    <t>\I: Commodity Name</t>
  </si>
  <si>
    <t>Annual Demand Value [PJ]</t>
  </si>
  <si>
    <t>ELC_FIN</t>
  </si>
  <si>
    <t>Supportive calculations below:</t>
  </si>
  <si>
    <t>TWh</t>
  </si>
  <si>
    <t>Legend:</t>
  </si>
  <si>
    <t xml:space="preserve"> ENTSO data points</t>
  </si>
  <si>
    <t>Coppied from VT_MODEL_DMD_V01:</t>
  </si>
  <si>
    <t>UC_RHSRT~2030</t>
  </si>
  <si>
    <t>UC_RHSRT~2035</t>
  </si>
  <si>
    <t>UC_RHSRT~2040</t>
  </si>
  <si>
    <t>UC_RHSRT~2045</t>
  </si>
  <si>
    <t>UC_RHSRT~2050</t>
  </si>
  <si>
    <t>Required minimum electricity production from renewable energy sources (RES) [PJ]</t>
  </si>
  <si>
    <r>
      <t xml:space="preserve">~UC_Sets: </t>
    </r>
    <r>
      <rPr>
        <b/>
        <sz val="8"/>
        <color rgb="FFFF0000"/>
        <rFont val="Arial"/>
        <family val="2"/>
        <charset val="238"/>
      </rPr>
      <t>T_E:</t>
    </r>
  </si>
  <si>
    <r>
      <t>~UC_Sets:</t>
    </r>
    <r>
      <rPr>
        <b/>
        <sz val="8"/>
        <color rgb="FFFF0000"/>
        <rFont val="Arial"/>
        <family val="2"/>
        <charset val="238"/>
      </rPr>
      <t xml:space="preserve"> R_E:</t>
    </r>
    <r>
      <rPr>
        <b/>
        <sz val="8"/>
        <rFont val="Arial"/>
        <family val="2"/>
      </rPr>
      <t xml:space="preserve"> NL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</si>
</sst>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-* #,##0.00\ _z_ł_-;\-* #,##0.00\ _z_ł_-;_-* &quot;-&quot;??\ _z_ł_-;_-@_-"/>
    <numFmt numFmtId="166" formatCode="_(* #,##0.00_);_(* \(#,##0.00\);_(* &quot;-&quot;??_);_(@_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0.000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_ &quot;kr&quot;\ * #,##0.00_ ;_ &quot;kr&quot;\ * \-#,##0.00_ ;_ &quot;kr&quot;\ * &quot;-&quot;??_ ;_ @_ "/>
    <numFmt numFmtId="190" formatCode="\Te\x\t"/>
    <numFmt numFmtId="191" formatCode="0.0"/>
  </numFmts>
  <fonts count="117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b/>
      <sz val="8"/>
      <color rgb="FFFF0000"/>
      <name val="Arial"/>
      <family val="2"/>
      <charset val="238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02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2"/>
    </xf>
    <xf numFmtId="0" fontId="24" fillId="0" borderId="0" applyNumberFormat="0" applyFont="0" applyFill="0" applyBorder="0" applyProtection="0">
      <alignment horizontal="left" vertical="center" indent="2"/>
    </xf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5"/>
    </xf>
    <xf numFmtId="0" fontId="24" fillId="0" borderId="0" applyNumberFormat="0" applyFont="0" applyFill="0" applyBorder="0" applyProtection="0">
      <alignment horizontal="left" vertical="center" indent="5"/>
    </xf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104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6" fontId="24" fillId="20" borderId="1">
      <alignment horizontal="center" vertical="center"/>
    </xf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12" fillId="21" borderId="2" applyNumberFormat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27" fillId="0" borderId="0" applyNumberFormat="0" applyFill="0" applyBorder="0" applyAlignment="0" applyProtection="0"/>
    <xf numFmtId="177" fontId="73" fillId="0" borderId="0">
      <protection locked="0"/>
    </xf>
    <xf numFmtId="0" fontId="74" fillId="0" borderId="0"/>
    <xf numFmtId="0" fontId="75" fillId="0" borderId="0"/>
    <xf numFmtId="177" fontId="73" fillId="0" borderId="0">
      <protection locked="0"/>
    </xf>
    <xf numFmtId="178" fontId="73" fillId="0" borderId="0">
      <protection locked="0"/>
    </xf>
    <xf numFmtId="0" fontId="29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73" fillId="0" borderId="0">
      <protection locked="0"/>
    </xf>
    <xf numFmtId="179" fontId="24" fillId="0" borderId="0" applyFont="0" applyFill="0" applyBorder="0" applyAlignment="0" applyProtection="0">
      <alignment wrapText="1"/>
    </xf>
    <xf numFmtId="168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5" fontId="93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24" fillId="0" borderId="0" applyFont="0" applyFill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05" fillId="41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165" fontId="17" fillId="0" borderId="0" applyFont="0" applyFill="0" applyBorder="0" applyAlignment="0" applyProtection="0"/>
    <xf numFmtId="0" fontId="11" fillId="7" borderId="3" applyNumberFormat="0" applyAlignment="0" applyProtection="0"/>
    <xf numFmtId="0" fontId="19" fillId="0" borderId="5" applyNumberFormat="0" applyFill="0" applyAlignment="0" applyProtection="0"/>
    <xf numFmtId="0" fontId="18" fillId="0" borderId="0" applyNumberFormat="0" applyFill="0" applyBorder="0" applyAlignment="0" applyProtection="0"/>
    <xf numFmtId="171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2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80" fontId="73" fillId="0" borderId="0">
      <protection locked="0"/>
    </xf>
    <xf numFmtId="0" fontId="76" fillId="0" borderId="0"/>
    <xf numFmtId="11" fontId="24" fillId="0" borderId="0" applyFont="0" applyFill="0" applyBorder="0" applyAlignment="0" applyProtection="0"/>
    <xf numFmtId="11" fontId="24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38" fontId="58" fillId="23" borderId="0" applyNumberFormat="0" applyBorder="0" applyAlignment="0" applyProtection="0"/>
    <xf numFmtId="0" fontId="8" fillId="4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" fillId="0" borderId="6" applyNumberFormat="0" applyFill="0" applyAlignment="0" applyProtection="0"/>
    <xf numFmtId="0" fontId="78" fillId="0" borderId="0">
      <protection locked="0"/>
    </xf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" fillId="0" borderId="7" applyNumberFormat="0" applyFill="0" applyAlignment="0" applyProtection="0"/>
    <xf numFmtId="0" fontId="78" fillId="0" borderId="0">
      <protection locked="0"/>
    </xf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35" fillId="0" borderId="0" applyNumberFormat="0" applyFill="0" applyBorder="0" applyAlignment="0" applyProtection="0"/>
    <xf numFmtId="0" fontId="79" fillId="0" borderId="9" applyNumberFormat="0" applyFill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0" fontId="58" fillId="24" borderId="10" applyNumberFormat="0" applyBorder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4" fontId="39" fillId="0" borderId="0" applyBorder="0">
      <alignment horizontal="right" vertical="center"/>
    </xf>
    <xf numFmtId="4" fontId="39" fillId="0" borderId="11">
      <alignment horizontal="right" vertical="center"/>
    </xf>
    <xf numFmtId="40" fontId="40" fillId="0" borderId="0" applyFont="0" applyFill="0" applyBorder="0" applyAlignment="0" applyProtection="0"/>
    <xf numFmtId="166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8" fillId="42" borderId="0" applyNumberFormat="0" applyBorder="0" applyAlignment="0" applyProtection="0"/>
    <xf numFmtId="0" fontId="51" fillId="25" borderId="0" applyNumberFormat="0" applyBorder="0" applyAlignment="0" applyProtection="0"/>
    <xf numFmtId="0" fontId="108" fillId="42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37" fontId="80" fillId="0" borderId="0"/>
    <xf numFmtId="166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53" fillId="0" borderId="0" applyNumberFormat="0" applyFill="0" applyBorder="0" applyProtection="0">
      <alignment horizontal="left" vertical="center"/>
    </xf>
    <xf numFmtId="0" fontId="24" fillId="26" borderId="0" applyNumberFormat="0" applyFont="0" applyBorder="0" applyAlignment="0" applyProtection="0"/>
    <xf numFmtId="0" fontId="24" fillId="26" borderId="0" applyNumberFormat="0" applyFont="0" applyBorder="0" applyAlignment="0" applyProtection="0"/>
    <xf numFmtId="0" fontId="55" fillId="0" borderId="0"/>
    <xf numFmtId="0" fontId="54" fillId="0" borderId="0"/>
    <xf numFmtId="0" fontId="21" fillId="0" borderId="0"/>
    <xf numFmtId="0" fontId="67" fillId="0" borderId="0"/>
    <xf numFmtId="0" fontId="17" fillId="0" borderId="0"/>
    <xf numFmtId="0" fontId="72" fillId="0" borderId="0"/>
    <xf numFmtId="0" fontId="67" fillId="0" borderId="0"/>
    <xf numFmtId="0" fontId="6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8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2" fillId="0" borderId="0"/>
    <xf numFmtId="0" fontId="21" fillId="0" borderId="0"/>
    <xf numFmtId="0" fontId="10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5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103" fillId="0" borderId="0"/>
    <xf numFmtId="0" fontId="22" fillId="0" borderId="0"/>
    <xf numFmtId="0" fontId="103" fillId="0" borderId="0"/>
    <xf numFmtId="0" fontId="98" fillId="0" borderId="0"/>
    <xf numFmtId="0" fontId="98" fillId="0" borderId="0"/>
    <xf numFmtId="0" fontId="17" fillId="0" borderId="0"/>
    <xf numFmtId="0" fontId="17" fillId="0" borderId="0"/>
    <xf numFmtId="0" fontId="102" fillId="0" borderId="0"/>
    <xf numFmtId="0" fontId="103" fillId="0" borderId="0"/>
    <xf numFmtId="0" fontId="103" fillId="0" borderId="0"/>
    <xf numFmtId="0" fontId="17" fillId="0" borderId="0"/>
    <xf numFmtId="0" fontId="103" fillId="0" borderId="0"/>
    <xf numFmtId="0" fontId="17" fillId="0" borderId="0"/>
    <xf numFmtId="0" fontId="103" fillId="0" borderId="0"/>
    <xf numFmtId="0" fontId="2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10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186" fontId="96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87" fontId="96" fillId="0" borderId="0" applyFont="0" applyFill="0" applyBorder="0" applyAlignment="0" applyProtection="0"/>
    <xf numFmtId="188" fontId="96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5" borderId="14" applyNumberFormat="0" applyProtection="0">
      <alignment vertical="center"/>
    </xf>
    <xf numFmtId="4" fontId="83" fillId="28" borderId="14" applyNumberFormat="0" applyProtection="0">
      <alignment vertical="center"/>
    </xf>
    <xf numFmtId="4" fontId="82" fillId="28" borderId="14" applyNumberFormat="0" applyProtection="0">
      <alignment horizontal="left" vertical="center" indent="1"/>
    </xf>
    <xf numFmtId="0" fontId="82" fillId="28" borderId="14" applyNumberFormat="0" applyProtection="0">
      <alignment horizontal="left" vertical="top" indent="1"/>
    </xf>
    <xf numFmtId="4" fontId="82" fillId="29" borderId="0" applyNumberFormat="0" applyProtection="0">
      <alignment horizontal="left" vertical="center" indent="1"/>
    </xf>
    <xf numFmtId="4" fontId="84" fillId="3" borderId="14" applyNumberFormat="0" applyProtection="0">
      <alignment horizontal="right" vertical="center"/>
    </xf>
    <xf numFmtId="4" fontId="84" fillId="9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5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8" borderId="14" applyNumberFormat="0" applyProtection="0">
      <alignment horizontal="right" vertical="center"/>
    </xf>
    <xf numFmtId="4" fontId="84" fillId="30" borderId="14" applyNumberFormat="0" applyProtection="0">
      <alignment horizontal="right" vertical="center"/>
    </xf>
    <xf numFmtId="4" fontId="84" fillId="10" borderId="14" applyNumberFormat="0" applyProtection="0">
      <alignment horizontal="right" vertical="center"/>
    </xf>
    <xf numFmtId="4" fontId="82" fillId="31" borderId="15" applyNumberFormat="0" applyProtection="0">
      <alignment horizontal="left" vertical="center" indent="1"/>
    </xf>
    <xf numFmtId="4" fontId="84" fillId="32" borderId="0" applyNumberFormat="0" applyProtection="0">
      <alignment horizontal="left" vertical="center" indent="1"/>
    </xf>
    <xf numFmtId="4" fontId="85" fillId="33" borderId="0" applyNumberFormat="0" applyProtection="0">
      <alignment horizontal="left" vertical="center" indent="1"/>
    </xf>
    <xf numFmtId="4" fontId="84" fillId="34" borderId="14" applyNumberFormat="0" applyProtection="0">
      <alignment horizontal="right" vertical="center"/>
    </xf>
    <xf numFmtId="4" fontId="84" fillId="32" borderId="0" applyNumberFormat="0" applyProtection="0">
      <alignment horizontal="left" vertical="center" indent="1"/>
    </xf>
    <xf numFmtId="4" fontId="84" fillId="29" borderId="0" applyNumberFormat="0" applyProtection="0">
      <alignment horizontal="left" vertical="center" indent="1"/>
    </xf>
    <xf numFmtId="0" fontId="24" fillId="33" borderId="14" applyNumberFormat="0" applyProtection="0">
      <alignment horizontal="left" vertical="center" indent="1"/>
    </xf>
    <xf numFmtId="0" fontId="24" fillId="33" borderId="14" applyNumberFormat="0" applyProtection="0">
      <alignment horizontal="left" vertical="top" indent="1"/>
    </xf>
    <xf numFmtId="0" fontId="24" fillId="29" borderId="14" applyNumberFormat="0" applyProtection="0">
      <alignment horizontal="left" vertical="center" indent="1"/>
    </xf>
    <xf numFmtId="0" fontId="24" fillId="29" borderId="14" applyNumberFormat="0" applyProtection="0">
      <alignment horizontal="left" vertical="top" indent="1"/>
    </xf>
    <xf numFmtId="0" fontId="24" fillId="20" borderId="14" applyNumberFormat="0" applyProtection="0">
      <alignment horizontal="left" vertical="center" indent="1"/>
    </xf>
    <xf numFmtId="0" fontId="24" fillId="20" borderId="14" applyNumberFormat="0" applyProtection="0">
      <alignment horizontal="left" vertical="top" indent="1"/>
    </xf>
    <xf numFmtId="0" fontId="24" fillId="35" borderId="14" applyNumberFormat="0" applyProtection="0">
      <alignment horizontal="left" vertical="center" indent="1"/>
    </xf>
    <xf numFmtId="0" fontId="24" fillId="35" borderId="14" applyNumberFormat="0" applyProtection="0">
      <alignment horizontal="left" vertical="top" indent="1"/>
    </xf>
    <xf numFmtId="4" fontId="84" fillId="24" borderId="14" applyNumberFormat="0" applyProtection="0">
      <alignment vertical="center"/>
    </xf>
    <xf numFmtId="4" fontId="86" fillId="24" borderId="14" applyNumberFormat="0" applyProtection="0">
      <alignment vertical="center"/>
    </xf>
    <xf numFmtId="4" fontId="84" fillId="24" borderId="14" applyNumberFormat="0" applyProtection="0">
      <alignment horizontal="left" vertical="center" indent="1"/>
    </xf>
    <xf numFmtId="0" fontId="84" fillId="24" borderId="14" applyNumberFormat="0" applyProtection="0">
      <alignment horizontal="left" vertical="top" indent="1"/>
    </xf>
    <xf numFmtId="4" fontId="84" fillId="32" borderId="14" applyNumberFormat="0" applyProtection="0">
      <alignment horizontal="right" vertical="center"/>
    </xf>
    <xf numFmtId="4" fontId="86" fillId="32" borderId="14" applyNumberFormat="0" applyProtection="0">
      <alignment horizontal="right" vertical="center"/>
    </xf>
    <xf numFmtId="4" fontId="84" fillId="34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7" fillId="36" borderId="0" applyNumberFormat="0" applyProtection="0">
      <alignment horizontal="left" vertical="center" indent="1"/>
    </xf>
    <xf numFmtId="4" fontId="88" fillId="32" borderId="14" applyNumberFormat="0" applyProtection="0">
      <alignment horizontal="right" vertical="center"/>
    </xf>
    <xf numFmtId="0" fontId="9" fillId="3" borderId="0" applyNumberFormat="0" applyBorder="0" applyAlignment="0" applyProtection="0"/>
    <xf numFmtId="0" fontId="39" fillId="26" borderId="10"/>
    <xf numFmtId="0" fontId="59" fillId="0" borderId="0"/>
    <xf numFmtId="0" fontId="24" fillId="0" borderId="0"/>
    <xf numFmtId="0" fontId="24" fillId="0" borderId="0"/>
    <xf numFmtId="0" fontId="7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7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9" fillId="0" borderId="0"/>
    <xf numFmtId="0" fontId="21" fillId="0" borderId="0"/>
    <xf numFmtId="0" fontId="102" fillId="0" borderId="0"/>
    <xf numFmtId="0" fontId="21" fillId="0" borderId="0"/>
    <xf numFmtId="0" fontId="109" fillId="0" borderId="0"/>
    <xf numFmtId="0" fontId="109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67" fillId="0" borderId="0"/>
    <xf numFmtId="0" fontId="24" fillId="0" borderId="0"/>
    <xf numFmtId="0" fontId="24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40" fillId="0" borderId="0"/>
    <xf numFmtId="0" fontId="24" fillId="0" borderId="0"/>
    <xf numFmtId="0" fontId="24" fillId="0" borderId="0"/>
    <xf numFmtId="0" fontId="24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58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58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4" fillId="0" borderId="0"/>
    <xf numFmtId="0" fontId="2" fillId="37" borderId="16" applyNumberFormat="0" applyProtection="0">
      <alignment horizontal="center" wrapText="1"/>
    </xf>
    <xf numFmtId="0" fontId="24" fillId="0" borderId="10" applyNumberFormat="0" applyFill="0" applyProtection="0">
      <alignment horizontal="right"/>
    </xf>
    <xf numFmtId="0" fontId="24" fillId="0" borderId="10" applyNumberFormat="0" applyFill="0" applyProtection="0">
      <alignment horizontal="right"/>
    </xf>
    <xf numFmtId="0" fontId="2" fillId="37" borderId="16" applyNumberFormat="0" applyProtection="0">
      <alignment horizontal="center" wrapText="1"/>
    </xf>
    <xf numFmtId="0" fontId="24" fillId="0" borderId="10" applyNumberFormat="0" applyFill="0" applyProtection="0">
      <alignment horizontal="right"/>
    </xf>
    <xf numFmtId="0" fontId="2" fillId="37" borderId="17" applyNumberFormat="0" applyAlignment="0" applyProtection="0">
      <alignment wrapText="1"/>
    </xf>
    <xf numFmtId="0" fontId="2" fillId="38" borderId="10" applyNumberFormat="0" applyProtection="0">
      <alignment horizontal="right"/>
    </xf>
    <xf numFmtId="0" fontId="2" fillId="37" borderId="17" applyNumberFormat="0" applyAlignment="0" applyProtection="0">
      <alignment wrapText="1"/>
    </xf>
    <xf numFmtId="0" fontId="2" fillId="38" borderId="10" applyNumberFormat="0" applyProtection="0">
      <alignment horizontal="right"/>
    </xf>
    <xf numFmtId="0" fontId="24" fillId="39" borderId="0" applyNumberFormat="0" applyBorder="0">
      <alignment horizontal="center" wrapText="1"/>
    </xf>
    <xf numFmtId="0" fontId="89" fillId="38" borderId="0" applyNumberFormat="0" applyBorder="0" applyProtection="0">
      <alignment horizontal="left"/>
    </xf>
    <xf numFmtId="0" fontId="24" fillId="39" borderId="0" applyNumberFormat="0" applyBorder="0">
      <alignment horizontal="center" wrapText="1"/>
    </xf>
    <xf numFmtId="0" fontId="89" fillId="38" borderId="0" applyNumberFormat="0" applyBorder="0" applyProtection="0">
      <alignment horizontal="left"/>
    </xf>
    <xf numFmtId="0" fontId="24" fillId="39" borderId="0" applyNumberFormat="0" applyBorder="0">
      <alignment wrapText="1"/>
    </xf>
    <xf numFmtId="0" fontId="2" fillId="38" borderId="10" applyNumberFormat="0" applyProtection="0">
      <alignment horizontal="left"/>
    </xf>
    <xf numFmtId="0" fontId="24" fillId="39" borderId="0" applyNumberFormat="0" applyBorder="0">
      <alignment wrapText="1"/>
    </xf>
    <xf numFmtId="0" fontId="2" fillId="38" borderId="10" applyNumberFormat="0" applyProtection="0">
      <alignment horizontal="left"/>
    </xf>
    <xf numFmtId="0" fontId="24" fillId="0" borderId="0" applyNumberFormat="0" applyFill="0" applyBorder="0" applyProtection="0">
      <alignment horizontal="right" wrapText="1"/>
    </xf>
    <xf numFmtId="0" fontId="24" fillId="0" borderId="10" applyNumberFormat="0" applyFill="0" applyProtection="0">
      <alignment horizontal="right"/>
    </xf>
    <xf numFmtId="0" fontId="24" fillId="0" borderId="10" applyNumberFormat="0" applyFill="0" applyProtection="0">
      <alignment horizontal="right"/>
    </xf>
    <xf numFmtId="0" fontId="24" fillId="0" borderId="0" applyNumberFormat="0" applyFill="0" applyBorder="0" applyProtection="0">
      <alignment horizontal="right" wrapText="1"/>
    </xf>
    <xf numFmtId="0" fontId="24" fillId="0" borderId="10" applyNumberFormat="0" applyFill="0" applyProtection="0">
      <alignment horizontal="right"/>
    </xf>
    <xf numFmtId="181" fontId="24" fillId="0" borderId="0" applyFill="0" applyBorder="0" applyAlignment="0" applyProtection="0">
      <alignment wrapText="1"/>
    </xf>
    <xf numFmtId="0" fontId="97" fillId="40" borderId="0" applyNumberFormat="0" applyBorder="0" applyProtection="0">
      <alignment horizontal="left"/>
    </xf>
    <xf numFmtId="181" fontId="24" fillId="0" borderId="0" applyFill="0" applyBorder="0" applyAlignment="0" applyProtection="0">
      <alignment wrapText="1"/>
    </xf>
    <xf numFmtId="0" fontId="97" fillId="40" borderId="0" applyNumberFormat="0" applyBorder="0" applyProtection="0">
      <alignment horizontal="left"/>
    </xf>
    <xf numFmtId="182" fontId="24" fillId="0" borderId="0" applyFill="0" applyBorder="0" applyAlignment="0" applyProtection="0">
      <alignment wrapText="1"/>
    </xf>
    <xf numFmtId="183" fontId="24" fillId="0" borderId="0" applyFill="0" applyBorder="0" applyAlignment="0" applyProtection="0">
      <alignment wrapText="1"/>
    </xf>
    <xf numFmtId="0" fontId="24" fillId="0" borderId="0" applyNumberFormat="0" applyFill="0" applyBorder="0" applyProtection="0">
      <alignment horizontal="right" wrapText="1"/>
    </xf>
    <xf numFmtId="0" fontId="24" fillId="0" borderId="0" applyNumberFormat="0" applyFill="0" applyBorder="0">
      <alignment horizontal="right" wrapText="1"/>
    </xf>
    <xf numFmtId="17" fontId="24" fillId="0" borderId="0" applyFill="0" applyBorder="0">
      <alignment horizontal="right" wrapText="1"/>
    </xf>
    <xf numFmtId="167" fontId="24" fillId="0" borderId="0" applyFill="0" applyBorder="0" applyAlignment="0" applyProtection="0">
      <alignment wrapText="1"/>
    </xf>
    <xf numFmtId="0" fontId="89" fillId="0" borderId="0" applyNumberFormat="0" applyFill="0" applyBorder="0">
      <alignment horizontal="left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9" fillId="0" borderId="5" applyNumberFormat="0" applyFill="0" applyAlignment="0" applyProtection="0"/>
    <xf numFmtId="0" fontId="78" fillId="0" borderId="0">
      <protection locked="0"/>
    </xf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7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37" fontId="58" fillId="28" borderId="0" applyNumberFormat="0" applyBorder="0" applyAlignment="0" applyProtection="0"/>
    <xf numFmtId="37" fontId="58" fillId="0" borderId="0"/>
    <xf numFmtId="37" fontId="58" fillId="28" borderId="0" applyNumberFormat="0" applyBorder="0" applyAlignment="0" applyProtection="0"/>
    <xf numFmtId="3" fontId="90" fillId="0" borderId="9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22" fillId="27" borderId="13" applyNumberFormat="0" applyFont="0" applyAlignment="0" applyProtection="0"/>
    <xf numFmtId="189" fontId="96" fillId="0" borderId="0" applyFont="0" applyFill="0" applyBorder="0" applyAlignment="0" applyProtection="0"/>
    <xf numFmtId="0" fontId="14" fillId="0" borderId="12" applyNumberFormat="0" applyFill="0" applyAlignment="0" applyProtection="0"/>
    <xf numFmtId="169" fontId="24" fillId="0" borderId="0" applyFont="0" applyFill="0" applyBorder="0" applyAlignment="0" applyProtection="0"/>
    <xf numFmtId="174" fontId="4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84" fontId="91" fillId="0" borderId="0">
      <alignment horizontal="right" vertical="center"/>
    </xf>
    <xf numFmtId="0" fontId="15" fillId="22" borderId="4" applyNumberFormat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4" fontId="39" fillId="0" borderId="0"/>
    <xf numFmtId="0" fontId="70" fillId="0" borderId="0" applyNumberFormat="0" applyFill="0" applyBorder="0" applyAlignment="0" applyProtection="0">
      <alignment vertical="center"/>
    </xf>
    <xf numFmtId="0" fontId="17" fillId="0" borderId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7" fillId="0" borderId="0"/>
    <xf numFmtId="0" fontId="112" fillId="0" borderId="0" applyNumberForma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/>
    <xf numFmtId="0" fontId="113" fillId="0" borderId="0"/>
    <xf numFmtId="0" fontId="114" fillId="0" borderId="0"/>
    <xf numFmtId="0" fontId="17" fillId="0" borderId="0"/>
    <xf numFmtId="0" fontId="24" fillId="0" borderId="0"/>
    <xf numFmtId="0" fontId="115" fillId="0" borderId="0" applyNumberFormat="0" applyFill="0" applyBorder="0" applyAlignment="0" applyProtection="0"/>
    <xf numFmtId="9" fontId="24" fillId="0" borderId="0" applyFont="0" applyFill="0" applyBorder="0" applyAlignment="0" applyProtection="0"/>
  </cellStyleXfs>
  <cellXfs count="33">
    <xf numFmtId="0" fontId="0" fillId="0" borderId="0" xfId="0"/>
    <xf numFmtId="185" fontId="0" fillId="0" borderId="0" xfId="0" applyNumberFormat="1"/>
    <xf numFmtId="2" fontId="71" fillId="0" borderId="0" xfId="1112" applyNumberFormat="1" applyFont="1"/>
    <xf numFmtId="0" fontId="3" fillId="0" borderId="0" xfId="0" applyFont="1"/>
    <xf numFmtId="0" fontId="92" fillId="0" borderId="0" xfId="0" applyFont="1"/>
    <xf numFmtId="0" fontId="94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190" fontId="110" fillId="44" borderId="0" xfId="0" applyNumberFormat="1" applyFont="1" applyFill="1"/>
    <xf numFmtId="190" fontId="111" fillId="44" borderId="0" xfId="0" applyNumberFormat="1" applyFont="1" applyFill="1"/>
    <xf numFmtId="0" fontId="17" fillId="43" borderId="18" xfId="0" applyFont="1" applyFill="1" applyBorder="1" applyAlignment="1">
      <alignment wrapText="1"/>
    </xf>
    <xf numFmtId="0" fontId="17" fillId="43" borderId="18" xfId="0" applyFont="1" applyFill="1" applyBorder="1"/>
    <xf numFmtId="190" fontId="94" fillId="45" borderId="19" xfId="0" applyNumberFormat="1" applyFont="1" applyFill="1" applyBorder="1" applyAlignment="1">
      <alignment horizontal="center" vertical="center"/>
    </xf>
    <xf numFmtId="190" fontId="94" fillId="45" borderId="19" xfId="0" applyNumberFormat="1" applyFont="1" applyFill="1" applyBorder="1" applyAlignment="1">
      <alignment horizontal="center" vertical="center" wrapText="1"/>
    </xf>
    <xf numFmtId="190" fontId="17" fillId="46" borderId="20" xfId="1060" applyNumberFormat="1" applyFont="1" applyFill="1" applyBorder="1" applyAlignment="1">
      <alignment horizontal="center" vertical="center" wrapText="1"/>
    </xf>
    <xf numFmtId="0" fontId="17" fillId="43" borderId="18" xfId="1114" applyFont="1" applyFill="1" applyBorder="1"/>
    <xf numFmtId="0" fontId="3" fillId="0" borderId="0" xfId="0" quotePrefix="1" applyFont="1" applyAlignment="1">
      <alignment horizontal="left"/>
    </xf>
    <xf numFmtId="0" fontId="58" fillId="0" borderId="0" xfId="0" applyFont="1"/>
    <xf numFmtId="190" fontId="2" fillId="28" borderId="21" xfId="0" applyNumberFormat="1" applyFont="1" applyFill="1" applyBorder="1" applyAlignment="1">
      <alignment horizontal="center" vertical="center"/>
    </xf>
    <xf numFmtId="0" fontId="2" fillId="28" borderId="21" xfId="0" applyFont="1" applyFill="1" applyBorder="1" applyAlignment="1">
      <alignment horizontal="center" vertical="center"/>
    </xf>
    <xf numFmtId="190" fontId="24" fillId="47" borderId="22" xfId="1060" applyNumberFormat="1" applyFill="1" applyBorder="1" applyAlignment="1">
      <alignment horizontal="center" vertical="center" wrapText="1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91" fontId="0" fillId="48" borderId="0" xfId="0" applyNumberFormat="1" applyFill="1" applyAlignment="1">
      <alignment horizontal="center"/>
    </xf>
    <xf numFmtId="191" fontId="0" fillId="49" borderId="0" xfId="0" applyNumberFormat="1" applyFill="1" applyAlignment="1">
      <alignment horizontal="center"/>
    </xf>
    <xf numFmtId="9" fontId="17" fillId="0" borderId="0" xfId="0" applyNumberFormat="1" applyFont="1"/>
    <xf numFmtId="0" fontId="0" fillId="48" borderId="0" xfId="0" applyFill="1" applyAlignment="1">
      <alignment horizontal="center"/>
    </xf>
    <xf numFmtId="3" fontId="17" fillId="43" borderId="18" xfId="1116" applyNumberFormat="1" applyFill="1" applyBorder="1" applyAlignment="1">
      <alignment horizontal="center"/>
    </xf>
    <xf numFmtId="190" fontId="17" fillId="46" borderId="20" xfId="1060" applyNumberFormat="1" applyFont="1" applyFill="1" applyBorder="1" applyAlignment="1">
      <alignment horizontal="center" vertical="center" wrapText="1"/>
    </xf>
    <xf numFmtId="190" fontId="24" fillId="47" borderId="22" xfId="1060" applyNumberFormat="1" applyFill="1" applyBorder="1" applyAlignment="1">
      <alignment horizontal="center" vertical="center" wrapText="1"/>
    </xf>
  </cellXfs>
  <cellStyles count="2202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[0] 2 3" xfId="2193" xr:uid="{044DC2AE-750C-4F5B-8469-848B6C31CE5D}"/>
    <cellStyle name="Dezimal [0] 2 4" xfId="2145" xr:uid="{45991FF1-7CE7-4D54-AEF9-5B7CAB0FE255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3 2" xfId="2200" xr:uid="{35DBCA7E-2F5A-40AB-BF27-807000401122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" xfId="2192" xr:uid="{562B26A6-87C1-40F6-8ADE-E3C1CDE6CC9A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3 2" xfId="2194" xr:uid="{1974E945-3EE7-4707-A34F-BB897AE86643}"/>
    <cellStyle name="Komma 3 3" xfId="2146" xr:uid="{B45ECE04-DAC1-4934-846A-6D710EFC848C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" xfId="0" builtinId="0"/>
    <cellStyle name="Normal - Style1" xfId="1059" xr:uid="{00000000-0005-0000-0000-000022040000}"/>
    <cellStyle name="Normal - Style1 2" xfId="2195" xr:uid="{7CDD5E36-9C9A-4BC1-A559-FEC3C5910260}"/>
    <cellStyle name="Normal - Style1 3" xfId="2147" xr:uid="{F90D66D8-4A91-4ACD-9280-ED5417E49CB9}"/>
    <cellStyle name="Normal 10" xfId="1060" xr:uid="{00000000-0005-0000-0000-000023040000}"/>
    <cellStyle name="Normal 10 15 2" xfId="2199" xr:uid="{931F2941-B794-41D9-B25F-5D8840BC2CE8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15" xfId="2144" xr:uid="{EF1296C3-C654-4FD6-9A7E-C9F305050889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39 2 2" xfId="2198" xr:uid="{5968FE98-B616-4FBA-AB2F-1F7B2D8B2B02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5 3" xfId="2197" xr:uid="{9B02CA93-6F08-4B61-B90A-EC3ACAC45584}"/>
    <cellStyle name="Normal 5 4" xfId="2191" xr:uid="{3F57BC71-C061-4421-A246-29DF4040247A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Sheet3" xfId="1112" xr:uid="{00000000-0005-0000-0000-000058040000}"/>
    <cellStyle name="Normale_B2020" xfId="1113" xr:uid="{00000000-0005-0000-0000-000059040000}"/>
    <cellStyle name="Normale_Scen_UC_IND-StrucConst" xfId="1114" xr:uid="{00000000-0005-0000-0000-00005A040000}"/>
    <cellStyle name="Normalny 10" xfId="1115" xr:uid="{00000000-0005-0000-0000-00005C040000}"/>
    <cellStyle name="Normalny 10 2" xfId="1116" xr:uid="{00000000-0005-0000-0000-00005D040000}"/>
    <cellStyle name="Normalny 10 2 2" xfId="1117" xr:uid="{00000000-0005-0000-0000-00005E040000}"/>
    <cellStyle name="Normalny 10 2 2 2" xfId="1118" xr:uid="{00000000-0005-0000-0000-00005F040000}"/>
    <cellStyle name="Normalny 10 2 2 3" xfId="1119" xr:uid="{00000000-0005-0000-0000-000060040000}"/>
    <cellStyle name="Normalny 10 2 3" xfId="1120" xr:uid="{00000000-0005-0000-0000-000061040000}"/>
    <cellStyle name="Normalny 10 2 3 2" xfId="1121" xr:uid="{00000000-0005-0000-0000-000062040000}"/>
    <cellStyle name="Normalny 10 2 3 3" xfId="1122" xr:uid="{00000000-0005-0000-0000-000063040000}"/>
    <cellStyle name="Normalny 10 2 4" xfId="1123" xr:uid="{00000000-0005-0000-0000-000064040000}"/>
    <cellStyle name="Normalny 10 2 4 2" xfId="1124" xr:uid="{00000000-0005-0000-0000-000065040000}"/>
    <cellStyle name="Normalny 10 2 5" xfId="1125" xr:uid="{00000000-0005-0000-0000-000066040000}"/>
    <cellStyle name="Normalny 10 2 5 2" xfId="1126" xr:uid="{00000000-0005-0000-0000-000067040000}"/>
    <cellStyle name="Normalny 10 2 6" xfId="1127" xr:uid="{00000000-0005-0000-0000-000068040000}"/>
    <cellStyle name="Normalny 10 2_CHP" xfId="1128" xr:uid="{00000000-0005-0000-0000-000069040000}"/>
    <cellStyle name="Normalny 10 3" xfId="1129" xr:uid="{00000000-0005-0000-0000-00006A040000}"/>
    <cellStyle name="Normalny 10 3 2" xfId="1130" xr:uid="{00000000-0005-0000-0000-00006B040000}"/>
    <cellStyle name="Normalny 10 3 2 2" xfId="1131" xr:uid="{00000000-0005-0000-0000-00006C040000}"/>
    <cellStyle name="Normalny 10 3 2 3" xfId="1132" xr:uid="{00000000-0005-0000-0000-00006D040000}"/>
    <cellStyle name="Normalny 10 3 3" xfId="1133" xr:uid="{00000000-0005-0000-0000-00006E040000}"/>
    <cellStyle name="Normalny 10 3 4" xfId="1134" xr:uid="{00000000-0005-0000-0000-00006F040000}"/>
    <cellStyle name="Normalny 10 3 4 2" xfId="1135" xr:uid="{00000000-0005-0000-0000-000070040000}"/>
    <cellStyle name="Normalny 10 3_CHP" xfId="1136" xr:uid="{00000000-0005-0000-0000-000071040000}"/>
    <cellStyle name="Normalny 10 4" xfId="1137" xr:uid="{00000000-0005-0000-0000-000072040000}"/>
    <cellStyle name="Normalny 11" xfId="1138" xr:uid="{00000000-0005-0000-0000-000073040000}"/>
    <cellStyle name="Normalny 11 2" xfId="1139" xr:uid="{00000000-0005-0000-0000-000074040000}"/>
    <cellStyle name="Normalny 11 2 2" xfId="1140" xr:uid="{00000000-0005-0000-0000-000075040000}"/>
    <cellStyle name="Normalny 11 2 2 2" xfId="1141" xr:uid="{00000000-0005-0000-0000-000076040000}"/>
    <cellStyle name="Normalny 11 2 2 3" xfId="1142" xr:uid="{00000000-0005-0000-0000-000077040000}"/>
    <cellStyle name="Normalny 11 2 3" xfId="1143" xr:uid="{00000000-0005-0000-0000-000078040000}"/>
    <cellStyle name="Normalny 11 2 3 2" xfId="1144" xr:uid="{00000000-0005-0000-0000-000079040000}"/>
    <cellStyle name="Normalny 11 2 3 3" xfId="1145" xr:uid="{00000000-0005-0000-0000-00007A040000}"/>
    <cellStyle name="Normalny 11 2 4" xfId="1146" xr:uid="{00000000-0005-0000-0000-00007B040000}"/>
    <cellStyle name="Normalny 11 2 5" xfId="1147" xr:uid="{00000000-0005-0000-0000-00007C040000}"/>
    <cellStyle name="Normalny 11 2_COM_BND" xfId="1148" xr:uid="{00000000-0005-0000-0000-00007D040000}"/>
    <cellStyle name="Normalny 11 3" xfId="1149" xr:uid="{00000000-0005-0000-0000-00007E040000}"/>
    <cellStyle name="Normalny 11 3 2" xfId="1150" xr:uid="{00000000-0005-0000-0000-00007F040000}"/>
    <cellStyle name="Normalny 11 3 2 2" xfId="1151" xr:uid="{00000000-0005-0000-0000-000080040000}"/>
    <cellStyle name="Normalny 11 3 2 2 2" xfId="1152" xr:uid="{00000000-0005-0000-0000-000081040000}"/>
    <cellStyle name="Normalny 11 3 2 2 3" xfId="1153" xr:uid="{00000000-0005-0000-0000-000082040000}"/>
    <cellStyle name="Normalny 11 3 2 3" xfId="1154" xr:uid="{00000000-0005-0000-0000-000083040000}"/>
    <cellStyle name="Normalny 11 3 2 3 2" xfId="1155" xr:uid="{00000000-0005-0000-0000-000084040000}"/>
    <cellStyle name="Normalny 11 3 2 4" xfId="1156" xr:uid="{00000000-0005-0000-0000-000085040000}"/>
    <cellStyle name="Normalny 11 3 2 4 2" xfId="1157" xr:uid="{00000000-0005-0000-0000-000086040000}"/>
    <cellStyle name="Normalny 11 3 2 5" xfId="1158" xr:uid="{00000000-0005-0000-0000-000087040000}"/>
    <cellStyle name="Normalny 11 3 2_CHP" xfId="1159" xr:uid="{00000000-0005-0000-0000-000088040000}"/>
    <cellStyle name="Normalny 11 3 3" xfId="1160" xr:uid="{00000000-0005-0000-0000-000089040000}"/>
    <cellStyle name="Normalny 11 3 3 2" xfId="1161" xr:uid="{00000000-0005-0000-0000-00008A040000}"/>
    <cellStyle name="Normalny 11 3 3 3" xfId="1162" xr:uid="{00000000-0005-0000-0000-00008B040000}"/>
    <cellStyle name="Normalny 11 3 4" xfId="1163" xr:uid="{00000000-0005-0000-0000-00008C040000}"/>
    <cellStyle name="Normalny 11 3_COM_BND" xfId="1164" xr:uid="{00000000-0005-0000-0000-00008D040000}"/>
    <cellStyle name="Normalny 11 4" xfId="1165" xr:uid="{00000000-0005-0000-0000-00008E040000}"/>
    <cellStyle name="Normalny 11 4 2" xfId="1166" xr:uid="{00000000-0005-0000-0000-00008F040000}"/>
    <cellStyle name="Normalny 11 4 2 2" xfId="1167" xr:uid="{00000000-0005-0000-0000-000090040000}"/>
    <cellStyle name="Normalny 11 4 2 3" xfId="1168" xr:uid="{00000000-0005-0000-0000-000091040000}"/>
    <cellStyle name="Normalny 11 4 3" xfId="1169" xr:uid="{00000000-0005-0000-0000-000092040000}"/>
    <cellStyle name="Normalny 11 4 3 2" xfId="1170" xr:uid="{00000000-0005-0000-0000-000093040000}"/>
    <cellStyle name="Normalny 11 4 4" xfId="1171" xr:uid="{00000000-0005-0000-0000-000094040000}"/>
    <cellStyle name="Normalny 11 4 4 2" xfId="1172" xr:uid="{00000000-0005-0000-0000-000095040000}"/>
    <cellStyle name="Normalny 11 4 5" xfId="1173" xr:uid="{00000000-0005-0000-0000-000096040000}"/>
    <cellStyle name="Normalny 11 4_CHP" xfId="1174" xr:uid="{00000000-0005-0000-0000-000097040000}"/>
    <cellStyle name="Normalny 11 5" xfId="1175" xr:uid="{00000000-0005-0000-0000-000098040000}"/>
    <cellStyle name="Normalny 11 5 2" xfId="1176" xr:uid="{00000000-0005-0000-0000-000099040000}"/>
    <cellStyle name="Normalny 11 5 2 2" xfId="1177" xr:uid="{00000000-0005-0000-0000-00009A040000}"/>
    <cellStyle name="Normalny 11 5 2 3" xfId="1178" xr:uid="{00000000-0005-0000-0000-00009B040000}"/>
    <cellStyle name="Normalny 11 5 3" xfId="1179" xr:uid="{00000000-0005-0000-0000-00009C040000}"/>
    <cellStyle name="Normalny 11 5 3 2" xfId="1180" xr:uid="{00000000-0005-0000-0000-00009D040000}"/>
    <cellStyle name="Normalny 11 5 4" xfId="1181" xr:uid="{00000000-0005-0000-0000-00009E040000}"/>
    <cellStyle name="Normalny 11 5 4 2" xfId="1182" xr:uid="{00000000-0005-0000-0000-00009F040000}"/>
    <cellStyle name="Normalny 11 5 5" xfId="1183" xr:uid="{00000000-0005-0000-0000-0000A0040000}"/>
    <cellStyle name="Normalny 11 5 6" xfId="1184" xr:uid="{00000000-0005-0000-0000-0000A1040000}"/>
    <cellStyle name="Normalny 11 5_CHP" xfId="1185" xr:uid="{00000000-0005-0000-0000-0000A2040000}"/>
    <cellStyle name="Normalny 11 6" xfId="1186" xr:uid="{00000000-0005-0000-0000-0000A3040000}"/>
    <cellStyle name="Normalny 11 6 2" xfId="1187" xr:uid="{00000000-0005-0000-0000-0000A4040000}"/>
    <cellStyle name="Normalny 11 6 2 2" xfId="1188" xr:uid="{00000000-0005-0000-0000-0000A5040000}"/>
    <cellStyle name="Normalny 11 6 3" xfId="1189" xr:uid="{00000000-0005-0000-0000-0000A6040000}"/>
    <cellStyle name="Normalny 11 6 3 2" xfId="1190" xr:uid="{00000000-0005-0000-0000-0000A7040000}"/>
    <cellStyle name="Normalny 11 6 4" xfId="1191" xr:uid="{00000000-0005-0000-0000-0000A8040000}"/>
    <cellStyle name="Normalny 11 6_CHP" xfId="1192" xr:uid="{00000000-0005-0000-0000-0000A9040000}"/>
    <cellStyle name="Normalny 11 7" xfId="1193" xr:uid="{00000000-0005-0000-0000-0000AA040000}"/>
    <cellStyle name="Normalny 11 7 2" xfId="1194" xr:uid="{00000000-0005-0000-0000-0000AB040000}"/>
    <cellStyle name="Normalny 11 8" xfId="1195" xr:uid="{00000000-0005-0000-0000-0000AC040000}"/>
    <cellStyle name="Normalny 11 8 2" xfId="1196" xr:uid="{00000000-0005-0000-0000-0000AD040000}"/>
    <cellStyle name="Normalny 11 9" xfId="1197" xr:uid="{00000000-0005-0000-0000-0000AE040000}"/>
    <cellStyle name="Normalny 11_CHP" xfId="1198" xr:uid="{00000000-0005-0000-0000-0000AF040000}"/>
    <cellStyle name="Normalny 12" xfId="1199" xr:uid="{00000000-0005-0000-0000-0000B0040000}"/>
    <cellStyle name="Normalny 12 2" xfId="1200" xr:uid="{00000000-0005-0000-0000-0000B1040000}"/>
    <cellStyle name="Normalny 12 3" xfId="1201" xr:uid="{00000000-0005-0000-0000-0000B2040000}"/>
    <cellStyle name="Normalny 13" xfId="1202" xr:uid="{00000000-0005-0000-0000-0000B3040000}"/>
    <cellStyle name="Normalny 13 10" xfId="1203" xr:uid="{00000000-0005-0000-0000-0000B4040000}"/>
    <cellStyle name="Normalny 13 10 2" xfId="1204" xr:uid="{00000000-0005-0000-0000-0000B5040000}"/>
    <cellStyle name="Normalny 13 10 3" xfId="1205" xr:uid="{00000000-0005-0000-0000-0000B6040000}"/>
    <cellStyle name="Normalny 13 10 3 2" xfId="1206" xr:uid="{00000000-0005-0000-0000-0000B7040000}"/>
    <cellStyle name="Normalny 13 10 4" xfId="1207" xr:uid="{00000000-0005-0000-0000-0000B8040000}"/>
    <cellStyle name="Normalny 13 10_CHP" xfId="1208" xr:uid="{00000000-0005-0000-0000-0000B9040000}"/>
    <cellStyle name="Normalny 13 11" xfId="1209" xr:uid="{00000000-0005-0000-0000-0000BA040000}"/>
    <cellStyle name="Normalny 13 12" xfId="1210" xr:uid="{00000000-0005-0000-0000-0000BB040000}"/>
    <cellStyle name="Normalny 13 12 2" xfId="1211" xr:uid="{00000000-0005-0000-0000-0000BC040000}"/>
    <cellStyle name="Normalny 13 12 3" xfId="1212" xr:uid="{00000000-0005-0000-0000-0000BD040000}"/>
    <cellStyle name="Normalny 13 13" xfId="1213" xr:uid="{00000000-0005-0000-0000-0000BE040000}"/>
    <cellStyle name="Normalny 13 13 2" xfId="1214" xr:uid="{00000000-0005-0000-0000-0000BF040000}"/>
    <cellStyle name="Normalny 13 13 3" xfId="1215" xr:uid="{00000000-0005-0000-0000-0000C0040000}"/>
    <cellStyle name="Normalny 13 14" xfId="1216" xr:uid="{00000000-0005-0000-0000-0000C1040000}"/>
    <cellStyle name="Normalny 13 15" xfId="1217" xr:uid="{00000000-0005-0000-0000-0000C2040000}"/>
    <cellStyle name="Normalny 13 15 2" xfId="1218" xr:uid="{00000000-0005-0000-0000-0000C3040000}"/>
    <cellStyle name="Normalny 13 15 3" xfId="1219" xr:uid="{00000000-0005-0000-0000-0000C4040000}"/>
    <cellStyle name="Normalny 13 16" xfId="1220" xr:uid="{00000000-0005-0000-0000-0000C5040000}"/>
    <cellStyle name="Normalny 13 16 2" xfId="1221" xr:uid="{00000000-0005-0000-0000-0000C6040000}"/>
    <cellStyle name="Normalny 13 16 3" xfId="1222" xr:uid="{00000000-0005-0000-0000-0000C7040000}"/>
    <cellStyle name="Normalny 13 17" xfId="1223" xr:uid="{00000000-0005-0000-0000-0000C8040000}"/>
    <cellStyle name="Normalny 13 17 2" xfId="1224" xr:uid="{00000000-0005-0000-0000-0000C9040000}"/>
    <cellStyle name="Normalny 13 17 3" xfId="1225" xr:uid="{00000000-0005-0000-0000-0000CA040000}"/>
    <cellStyle name="Normalny 13 18" xfId="1226" xr:uid="{00000000-0005-0000-0000-0000CB040000}"/>
    <cellStyle name="Normalny 13 18 2" xfId="1227" xr:uid="{00000000-0005-0000-0000-0000CC040000}"/>
    <cellStyle name="Normalny 13 18 3" xfId="1228" xr:uid="{00000000-0005-0000-0000-0000CD040000}"/>
    <cellStyle name="Normalny 13 19" xfId="1229" xr:uid="{00000000-0005-0000-0000-0000CE040000}"/>
    <cellStyle name="Normalny 13 2" xfId="1230" xr:uid="{00000000-0005-0000-0000-0000CF040000}"/>
    <cellStyle name="Normalny 13 2 10" xfId="2149" xr:uid="{10FAC7D3-8F61-4611-9D51-0FA5310C39FE}"/>
    <cellStyle name="Normalny 13 2 2" xfId="1231" xr:uid="{00000000-0005-0000-0000-0000D0040000}"/>
    <cellStyle name="Normalny 13 2 2 2" xfId="1232" xr:uid="{00000000-0005-0000-0000-0000D1040000}"/>
    <cellStyle name="Normalny 13 2 2 2 2" xfId="1233" xr:uid="{00000000-0005-0000-0000-0000D2040000}"/>
    <cellStyle name="Normalny 13 2 2 2 2 2" xfId="1234" xr:uid="{00000000-0005-0000-0000-0000D3040000}"/>
    <cellStyle name="Normalny 13 2 2 2 2 2 2" xfId="1235" xr:uid="{00000000-0005-0000-0000-0000D4040000}"/>
    <cellStyle name="Normalny 13 2 2 2 2 2 2 2" xfId="1236" xr:uid="{00000000-0005-0000-0000-0000D5040000}"/>
    <cellStyle name="Normalny 13 2 2 2 2 2 2 3" xfId="1237" xr:uid="{00000000-0005-0000-0000-0000D6040000}"/>
    <cellStyle name="Normalny 13 2 2 2 2 2 3" xfId="1238" xr:uid="{00000000-0005-0000-0000-0000D7040000}"/>
    <cellStyle name="Normalny 13 2 2 2 2 2 4" xfId="2153" xr:uid="{03EE37A0-A66A-4935-A96E-CF62FFCF59B9}"/>
    <cellStyle name="Normalny 13 2 2 2 2 3" xfId="1239" xr:uid="{00000000-0005-0000-0000-0000D8040000}"/>
    <cellStyle name="Normalny 13 2 2 2 2 4" xfId="1240" xr:uid="{00000000-0005-0000-0000-0000D9040000}"/>
    <cellStyle name="Normalny 13 2 2 2 2 5" xfId="2152" xr:uid="{5DDC0F33-8CC7-4CB0-BCE6-77A13995D1ED}"/>
    <cellStyle name="Normalny 13 2 2 2 2_CHP" xfId="1241" xr:uid="{00000000-0005-0000-0000-0000DA040000}"/>
    <cellStyle name="Normalny 13 2 2 2 3" xfId="1242" xr:uid="{00000000-0005-0000-0000-0000DB040000}"/>
    <cellStyle name="Normalny 13 2 2 2 3 2" xfId="1243" xr:uid="{00000000-0005-0000-0000-0000DC040000}"/>
    <cellStyle name="Normalny 13 2 2 2 3 2 2" xfId="1244" xr:uid="{00000000-0005-0000-0000-0000DD040000}"/>
    <cellStyle name="Normalny 13 2 2 2 3 2 2 2" xfId="1245" xr:uid="{00000000-0005-0000-0000-0000DE040000}"/>
    <cellStyle name="Normalny 13 2 2 2 3 2 2 3" xfId="1246" xr:uid="{00000000-0005-0000-0000-0000DF040000}"/>
    <cellStyle name="Normalny 13 2 2 2 3 2 3" xfId="1247" xr:uid="{00000000-0005-0000-0000-0000E0040000}"/>
    <cellStyle name="Normalny 13 2 2 2 3 2 4" xfId="2155" xr:uid="{CC1A891E-2166-497E-A729-CCA84FA89014}"/>
    <cellStyle name="Normalny 13 2 2 2 3 3" xfId="1248" xr:uid="{00000000-0005-0000-0000-0000E1040000}"/>
    <cellStyle name="Normalny 13 2 2 2 3 4" xfId="1249" xr:uid="{00000000-0005-0000-0000-0000E2040000}"/>
    <cellStyle name="Normalny 13 2 2 2 3 5" xfId="2154" xr:uid="{3754ED24-DB83-4EC6-8D74-AFF6A138FF17}"/>
    <cellStyle name="Normalny 13 2 2 2 3_CHP" xfId="1250" xr:uid="{00000000-0005-0000-0000-0000E3040000}"/>
    <cellStyle name="Normalny 13 2 2 2 4" xfId="1251" xr:uid="{00000000-0005-0000-0000-0000E4040000}"/>
    <cellStyle name="Normalny 13 2 2 2 4 2" xfId="1252" xr:uid="{00000000-0005-0000-0000-0000E5040000}"/>
    <cellStyle name="Normalny 13 2 2 2 4 2 2" xfId="1253" xr:uid="{00000000-0005-0000-0000-0000E6040000}"/>
    <cellStyle name="Normalny 13 2 2 2 4 2 3" xfId="1254" xr:uid="{00000000-0005-0000-0000-0000E7040000}"/>
    <cellStyle name="Normalny 13 2 2 2 4 3" xfId="1255" xr:uid="{00000000-0005-0000-0000-0000E8040000}"/>
    <cellStyle name="Normalny 13 2 2 2 4 4" xfId="2156" xr:uid="{056FB9E9-1C91-4F4C-8285-982C809A769D}"/>
    <cellStyle name="Normalny 13 2 2 2 5" xfId="1256" xr:uid="{00000000-0005-0000-0000-0000E9040000}"/>
    <cellStyle name="Normalny 13 2 2 2 5 2" xfId="1257" xr:uid="{00000000-0005-0000-0000-0000EA040000}"/>
    <cellStyle name="Normalny 13 2 2 2 5 2 2" xfId="1258" xr:uid="{00000000-0005-0000-0000-0000EB040000}"/>
    <cellStyle name="Normalny 13 2 2 2 5 2 3" xfId="1259" xr:uid="{00000000-0005-0000-0000-0000EC040000}"/>
    <cellStyle name="Normalny 13 2 2 2 5 3" xfId="1260" xr:uid="{00000000-0005-0000-0000-0000ED040000}"/>
    <cellStyle name="Normalny 13 2 2 2 5 4" xfId="2157" xr:uid="{0581889A-7C3B-47A1-A539-E6331E771975}"/>
    <cellStyle name="Normalny 13 2 2 2 6" xfId="1261" xr:uid="{00000000-0005-0000-0000-0000EE040000}"/>
    <cellStyle name="Normalny 13 2 2 2 7" xfId="1262" xr:uid="{00000000-0005-0000-0000-0000EF040000}"/>
    <cellStyle name="Normalny 13 2 2 2 8" xfId="2151" xr:uid="{80C9BE03-A039-4739-9CEF-7DD392C86199}"/>
    <cellStyle name="Normalny 13 2 2 2_CHP" xfId="1263" xr:uid="{00000000-0005-0000-0000-0000F0040000}"/>
    <cellStyle name="Normalny 13 2 2 3" xfId="1264" xr:uid="{00000000-0005-0000-0000-0000F1040000}"/>
    <cellStyle name="Normalny 13 2 2 3 2" xfId="1265" xr:uid="{00000000-0005-0000-0000-0000F2040000}"/>
    <cellStyle name="Normalny 13 2 2 3 2 2" xfId="1266" xr:uid="{00000000-0005-0000-0000-0000F3040000}"/>
    <cellStyle name="Normalny 13 2 2 3 2 2 2" xfId="1267" xr:uid="{00000000-0005-0000-0000-0000F4040000}"/>
    <cellStyle name="Normalny 13 2 2 3 2 2 3" xfId="1268" xr:uid="{00000000-0005-0000-0000-0000F5040000}"/>
    <cellStyle name="Normalny 13 2 2 3 2 3" xfId="1269" xr:uid="{00000000-0005-0000-0000-0000F6040000}"/>
    <cellStyle name="Normalny 13 2 2 3 2 4" xfId="2159" xr:uid="{AD05D97D-BE2D-49DA-9963-0233C5447516}"/>
    <cellStyle name="Normalny 13 2 2 3 3" xfId="1270" xr:uid="{00000000-0005-0000-0000-0000F7040000}"/>
    <cellStyle name="Normalny 13 2 2 3 4" xfId="1271" xr:uid="{00000000-0005-0000-0000-0000F8040000}"/>
    <cellStyle name="Normalny 13 2 2 3 5" xfId="2158" xr:uid="{A8346063-D5CE-434F-A2A5-777DD4EA4865}"/>
    <cellStyle name="Normalny 13 2 2 3_CHP" xfId="1272" xr:uid="{00000000-0005-0000-0000-0000F9040000}"/>
    <cellStyle name="Normalny 13 2 2 4" xfId="1273" xr:uid="{00000000-0005-0000-0000-0000FA040000}"/>
    <cellStyle name="Normalny 13 2 2 4 2" xfId="1274" xr:uid="{00000000-0005-0000-0000-0000FB040000}"/>
    <cellStyle name="Normalny 13 2 2 4 2 2" xfId="1275" xr:uid="{00000000-0005-0000-0000-0000FC040000}"/>
    <cellStyle name="Normalny 13 2 2 4 2 2 2" xfId="1276" xr:uid="{00000000-0005-0000-0000-0000FD040000}"/>
    <cellStyle name="Normalny 13 2 2 4 2 2 3" xfId="1277" xr:uid="{00000000-0005-0000-0000-0000FE040000}"/>
    <cellStyle name="Normalny 13 2 2 4 2 3" xfId="1278" xr:uid="{00000000-0005-0000-0000-0000FF040000}"/>
    <cellStyle name="Normalny 13 2 2 4 2 4" xfId="2161" xr:uid="{C42174BC-B058-496B-A5C5-C061DF1EDE8E}"/>
    <cellStyle name="Normalny 13 2 2 4 3" xfId="1279" xr:uid="{00000000-0005-0000-0000-000000050000}"/>
    <cellStyle name="Normalny 13 2 2 4 4" xfId="1280" xr:uid="{00000000-0005-0000-0000-000001050000}"/>
    <cellStyle name="Normalny 13 2 2 4 5" xfId="2160" xr:uid="{EB4B5CD0-03DB-4BFF-A71C-EA81656DABE3}"/>
    <cellStyle name="Normalny 13 2 2 4_CHP" xfId="1281" xr:uid="{00000000-0005-0000-0000-000002050000}"/>
    <cellStyle name="Normalny 13 2 2 5" xfId="1282" xr:uid="{00000000-0005-0000-0000-000003050000}"/>
    <cellStyle name="Normalny 13 2 2 5 2" xfId="1283" xr:uid="{00000000-0005-0000-0000-000004050000}"/>
    <cellStyle name="Normalny 13 2 2 5 2 2" xfId="1284" xr:uid="{00000000-0005-0000-0000-000005050000}"/>
    <cellStyle name="Normalny 13 2 2 5 2 3" xfId="1285" xr:uid="{00000000-0005-0000-0000-000006050000}"/>
    <cellStyle name="Normalny 13 2 2 5 3" xfId="1286" xr:uid="{00000000-0005-0000-0000-000007050000}"/>
    <cellStyle name="Normalny 13 2 2 5 4" xfId="2162" xr:uid="{C3C8C88D-4F90-4AF0-B1DB-3D55CB6649A8}"/>
    <cellStyle name="Normalny 13 2 2 6" xfId="1287" xr:uid="{00000000-0005-0000-0000-000008050000}"/>
    <cellStyle name="Normalny 13 2 2 6 2" xfId="1288" xr:uid="{00000000-0005-0000-0000-000009050000}"/>
    <cellStyle name="Normalny 13 2 2 6 2 2" xfId="1289" xr:uid="{00000000-0005-0000-0000-00000A050000}"/>
    <cellStyle name="Normalny 13 2 2 6 2 3" xfId="1290" xr:uid="{00000000-0005-0000-0000-00000B050000}"/>
    <cellStyle name="Normalny 13 2 2 6 3" xfId="1291" xr:uid="{00000000-0005-0000-0000-00000C050000}"/>
    <cellStyle name="Normalny 13 2 2 6 4" xfId="2163" xr:uid="{07F190B6-C328-4514-ADFD-5476402B5A80}"/>
    <cellStyle name="Normalny 13 2 2 7" xfId="1292" xr:uid="{00000000-0005-0000-0000-00000D050000}"/>
    <cellStyle name="Normalny 13 2 2 8" xfId="1293" xr:uid="{00000000-0005-0000-0000-00000E050000}"/>
    <cellStyle name="Normalny 13 2 2 9" xfId="2150" xr:uid="{EC8D4FE5-0E58-4A9B-8E71-996677A1ED4B}"/>
    <cellStyle name="Normalny 13 2 2_CHP" xfId="1294" xr:uid="{00000000-0005-0000-0000-00000F050000}"/>
    <cellStyle name="Normalny 13 2 3" xfId="1295" xr:uid="{00000000-0005-0000-0000-000010050000}"/>
    <cellStyle name="Normalny 13 2 3 2" xfId="1296" xr:uid="{00000000-0005-0000-0000-000011050000}"/>
    <cellStyle name="Normalny 13 2 3 2 2" xfId="1297" xr:uid="{00000000-0005-0000-0000-000012050000}"/>
    <cellStyle name="Normalny 13 2 3 2 2 2" xfId="1298" xr:uid="{00000000-0005-0000-0000-000013050000}"/>
    <cellStyle name="Normalny 13 2 3 2 2 2 2" xfId="1299" xr:uid="{00000000-0005-0000-0000-000014050000}"/>
    <cellStyle name="Normalny 13 2 3 2 2 2 3" xfId="1300" xr:uid="{00000000-0005-0000-0000-000015050000}"/>
    <cellStyle name="Normalny 13 2 3 2 2 3" xfId="1301" xr:uid="{00000000-0005-0000-0000-000016050000}"/>
    <cellStyle name="Normalny 13 2 3 2 2 4" xfId="2166" xr:uid="{6608F911-8164-47DF-BD65-860459ECBCED}"/>
    <cellStyle name="Normalny 13 2 3 2 3" xfId="1302" xr:uid="{00000000-0005-0000-0000-000017050000}"/>
    <cellStyle name="Normalny 13 2 3 2 4" xfId="1303" xr:uid="{00000000-0005-0000-0000-000018050000}"/>
    <cellStyle name="Normalny 13 2 3 2 5" xfId="2165" xr:uid="{AFFE3B75-6CC0-4678-9871-22CB2CB1FD00}"/>
    <cellStyle name="Normalny 13 2 3 2_CHP" xfId="1304" xr:uid="{00000000-0005-0000-0000-000019050000}"/>
    <cellStyle name="Normalny 13 2 3 3" xfId="1305" xr:uid="{00000000-0005-0000-0000-00001A050000}"/>
    <cellStyle name="Normalny 13 2 3 3 2" xfId="1306" xr:uid="{00000000-0005-0000-0000-00001B050000}"/>
    <cellStyle name="Normalny 13 2 3 3 2 2" xfId="1307" xr:uid="{00000000-0005-0000-0000-00001C050000}"/>
    <cellStyle name="Normalny 13 2 3 3 2 2 2" xfId="1308" xr:uid="{00000000-0005-0000-0000-00001D050000}"/>
    <cellStyle name="Normalny 13 2 3 3 2 2 3" xfId="1309" xr:uid="{00000000-0005-0000-0000-00001E050000}"/>
    <cellStyle name="Normalny 13 2 3 3 2 3" xfId="1310" xr:uid="{00000000-0005-0000-0000-00001F050000}"/>
    <cellStyle name="Normalny 13 2 3 3 2 4" xfId="2168" xr:uid="{19B3EB98-0053-4C9B-A1C9-D7BC9E38E299}"/>
    <cellStyle name="Normalny 13 2 3 3 3" xfId="1311" xr:uid="{00000000-0005-0000-0000-000020050000}"/>
    <cellStyle name="Normalny 13 2 3 3 4" xfId="1312" xr:uid="{00000000-0005-0000-0000-000021050000}"/>
    <cellStyle name="Normalny 13 2 3 3 5" xfId="2167" xr:uid="{B1EEFC67-CEC5-4194-BB47-F2968BA5B3EC}"/>
    <cellStyle name="Normalny 13 2 3 3_CHP" xfId="1313" xr:uid="{00000000-0005-0000-0000-000022050000}"/>
    <cellStyle name="Normalny 13 2 3 4" xfId="1314" xr:uid="{00000000-0005-0000-0000-000023050000}"/>
    <cellStyle name="Normalny 13 2 3 4 2" xfId="1315" xr:uid="{00000000-0005-0000-0000-000024050000}"/>
    <cellStyle name="Normalny 13 2 3 4 2 2" xfId="1316" xr:uid="{00000000-0005-0000-0000-000025050000}"/>
    <cellStyle name="Normalny 13 2 3 4 2 3" xfId="1317" xr:uid="{00000000-0005-0000-0000-000026050000}"/>
    <cellStyle name="Normalny 13 2 3 4 3" xfId="1318" xr:uid="{00000000-0005-0000-0000-000027050000}"/>
    <cellStyle name="Normalny 13 2 3 4 4" xfId="2169" xr:uid="{1BEB5766-3A96-41CB-8E57-1A18EE898A86}"/>
    <cellStyle name="Normalny 13 2 3 5" xfId="1319" xr:uid="{00000000-0005-0000-0000-000028050000}"/>
    <cellStyle name="Normalny 13 2 3 5 2" xfId="1320" xr:uid="{00000000-0005-0000-0000-000029050000}"/>
    <cellStyle name="Normalny 13 2 3 5 2 2" xfId="1321" xr:uid="{00000000-0005-0000-0000-00002A050000}"/>
    <cellStyle name="Normalny 13 2 3 5 2 3" xfId="1322" xr:uid="{00000000-0005-0000-0000-00002B050000}"/>
    <cellStyle name="Normalny 13 2 3 5 3" xfId="1323" xr:uid="{00000000-0005-0000-0000-00002C050000}"/>
    <cellStyle name="Normalny 13 2 3 5 4" xfId="2170" xr:uid="{50E1B735-586C-43EA-95DA-DBDA49920DF0}"/>
    <cellStyle name="Normalny 13 2 3 6" xfId="1324" xr:uid="{00000000-0005-0000-0000-00002D050000}"/>
    <cellStyle name="Normalny 13 2 3 7" xfId="1325" xr:uid="{00000000-0005-0000-0000-00002E050000}"/>
    <cellStyle name="Normalny 13 2 3 8" xfId="2164" xr:uid="{ADDE951D-F11B-4039-AB5D-316F28F015C7}"/>
    <cellStyle name="Normalny 13 2 3_CHP" xfId="1326" xr:uid="{00000000-0005-0000-0000-00002F050000}"/>
    <cellStyle name="Normalny 13 2 4" xfId="1327" xr:uid="{00000000-0005-0000-0000-000030050000}"/>
    <cellStyle name="Normalny 13 2 4 2" xfId="1328" xr:uid="{00000000-0005-0000-0000-000031050000}"/>
    <cellStyle name="Normalny 13 2 4 2 2" xfId="1329" xr:uid="{00000000-0005-0000-0000-000032050000}"/>
    <cellStyle name="Normalny 13 2 4 2 2 2" xfId="1330" xr:uid="{00000000-0005-0000-0000-000033050000}"/>
    <cellStyle name="Normalny 13 2 4 2 2 3" xfId="1331" xr:uid="{00000000-0005-0000-0000-000034050000}"/>
    <cellStyle name="Normalny 13 2 4 2 3" xfId="1332" xr:uid="{00000000-0005-0000-0000-000035050000}"/>
    <cellStyle name="Normalny 13 2 4 2 4" xfId="2172" xr:uid="{82AA043F-3043-4B82-804D-ABBC20157FBD}"/>
    <cellStyle name="Normalny 13 2 4 3" xfId="1333" xr:uid="{00000000-0005-0000-0000-000036050000}"/>
    <cellStyle name="Normalny 13 2 4 4" xfId="1334" xr:uid="{00000000-0005-0000-0000-000037050000}"/>
    <cellStyle name="Normalny 13 2 4 5" xfId="2171" xr:uid="{840BC4E6-70D0-487D-A079-93CBB16CBC50}"/>
    <cellStyle name="Normalny 13 2 4_CHP" xfId="1335" xr:uid="{00000000-0005-0000-0000-000038050000}"/>
    <cellStyle name="Normalny 13 2 5" xfId="1336" xr:uid="{00000000-0005-0000-0000-000039050000}"/>
    <cellStyle name="Normalny 13 2 5 2" xfId="1337" xr:uid="{00000000-0005-0000-0000-00003A050000}"/>
    <cellStyle name="Normalny 13 2 5 2 2" xfId="1338" xr:uid="{00000000-0005-0000-0000-00003B050000}"/>
    <cellStyle name="Normalny 13 2 5 2 2 2" xfId="1339" xr:uid="{00000000-0005-0000-0000-00003C050000}"/>
    <cellStyle name="Normalny 13 2 5 2 2 3" xfId="1340" xr:uid="{00000000-0005-0000-0000-00003D050000}"/>
    <cellStyle name="Normalny 13 2 5 2 3" xfId="1341" xr:uid="{00000000-0005-0000-0000-00003E050000}"/>
    <cellStyle name="Normalny 13 2 5 2 4" xfId="2174" xr:uid="{14FEAAEC-628E-4C90-81AA-C51F8F2C9129}"/>
    <cellStyle name="Normalny 13 2 5 3" xfId="1342" xr:uid="{00000000-0005-0000-0000-00003F050000}"/>
    <cellStyle name="Normalny 13 2 5 4" xfId="1343" xr:uid="{00000000-0005-0000-0000-000040050000}"/>
    <cellStyle name="Normalny 13 2 5 5" xfId="2173" xr:uid="{EB3FD025-E88E-4DCD-9CA7-E6916687AD63}"/>
    <cellStyle name="Normalny 13 2 5_CHP" xfId="1344" xr:uid="{00000000-0005-0000-0000-000041050000}"/>
    <cellStyle name="Normalny 13 2 6" xfId="1345" xr:uid="{00000000-0005-0000-0000-000042050000}"/>
    <cellStyle name="Normalny 13 2 6 2" xfId="1346" xr:uid="{00000000-0005-0000-0000-000043050000}"/>
    <cellStyle name="Normalny 13 2 6 2 2" xfId="1347" xr:uid="{00000000-0005-0000-0000-000044050000}"/>
    <cellStyle name="Normalny 13 2 6 2 3" xfId="1348" xr:uid="{00000000-0005-0000-0000-000045050000}"/>
    <cellStyle name="Normalny 13 2 6 3" xfId="1349" xr:uid="{00000000-0005-0000-0000-000046050000}"/>
    <cellStyle name="Normalny 13 2 6 4" xfId="2175" xr:uid="{5D061337-2A4C-4464-9DAD-F9576C6DF9CA}"/>
    <cellStyle name="Normalny 13 2 7" xfId="1350" xr:uid="{00000000-0005-0000-0000-000047050000}"/>
    <cellStyle name="Normalny 13 2 7 2" xfId="1351" xr:uid="{00000000-0005-0000-0000-000048050000}"/>
    <cellStyle name="Normalny 13 2 7 2 2" xfId="1352" xr:uid="{00000000-0005-0000-0000-000049050000}"/>
    <cellStyle name="Normalny 13 2 7 2 3" xfId="1353" xr:uid="{00000000-0005-0000-0000-00004A050000}"/>
    <cellStyle name="Normalny 13 2 7 3" xfId="1354" xr:uid="{00000000-0005-0000-0000-00004B050000}"/>
    <cellStyle name="Normalny 13 2 7 4" xfId="2176" xr:uid="{FD274B64-8CFC-4386-A405-08316D2C7A62}"/>
    <cellStyle name="Normalny 13 2 8" xfId="1355" xr:uid="{00000000-0005-0000-0000-00004C050000}"/>
    <cellStyle name="Normalny 13 2 9" xfId="1356" xr:uid="{00000000-0005-0000-0000-00004D050000}"/>
    <cellStyle name="Normalny 13 2_CHP" xfId="1357" xr:uid="{00000000-0005-0000-0000-00004E050000}"/>
    <cellStyle name="Normalny 13 20" xfId="1358" xr:uid="{00000000-0005-0000-0000-00004F050000}"/>
    <cellStyle name="Normalny 13 21" xfId="1359" xr:uid="{00000000-0005-0000-0000-000050050000}"/>
    <cellStyle name="Normalny 13 22" xfId="1360" xr:uid="{00000000-0005-0000-0000-000051050000}"/>
    <cellStyle name="Normalny 13 23" xfId="1361" xr:uid="{00000000-0005-0000-0000-000052050000}"/>
    <cellStyle name="Normalny 13 24" xfId="1362" xr:uid="{00000000-0005-0000-0000-000053050000}"/>
    <cellStyle name="Normalny 13 25" xfId="1363" xr:uid="{00000000-0005-0000-0000-000054050000}"/>
    <cellStyle name="Normalny 13 26" xfId="2148" xr:uid="{989F6786-ADB6-453A-B044-11B52058B98D}"/>
    <cellStyle name="Normalny 13 3" xfId="1364" xr:uid="{00000000-0005-0000-0000-000055050000}"/>
    <cellStyle name="Normalny 13 3 2" xfId="1365" xr:uid="{00000000-0005-0000-0000-000056050000}"/>
    <cellStyle name="Normalny 13 3 2 2" xfId="1366" xr:uid="{00000000-0005-0000-0000-000057050000}"/>
    <cellStyle name="Normalny 13 3 2 2 2" xfId="1367" xr:uid="{00000000-0005-0000-0000-000058050000}"/>
    <cellStyle name="Normalny 13 3 2 2 2 2" xfId="1368" xr:uid="{00000000-0005-0000-0000-000059050000}"/>
    <cellStyle name="Normalny 13 3 2 2 2 3" xfId="1369" xr:uid="{00000000-0005-0000-0000-00005A050000}"/>
    <cellStyle name="Normalny 13 3 2 2 3" xfId="1370" xr:uid="{00000000-0005-0000-0000-00005B050000}"/>
    <cellStyle name="Normalny 13 3 2 2 4" xfId="1371" xr:uid="{00000000-0005-0000-0000-00005C050000}"/>
    <cellStyle name="Normalny 13 3 2 2 4 2" xfId="1372" xr:uid="{00000000-0005-0000-0000-00005D050000}"/>
    <cellStyle name="Normalny 13 3 2 2_CHP" xfId="1373" xr:uid="{00000000-0005-0000-0000-00005E050000}"/>
    <cellStyle name="Normalny 13 3 2 3" xfId="1374" xr:uid="{00000000-0005-0000-0000-00005F050000}"/>
    <cellStyle name="Normalny 13 3 2 3 2" xfId="1375" xr:uid="{00000000-0005-0000-0000-000060050000}"/>
    <cellStyle name="Normalny 13 3 2 3 3" xfId="1376" xr:uid="{00000000-0005-0000-0000-000061050000}"/>
    <cellStyle name="Normalny 13 3 2 4" xfId="1377" xr:uid="{00000000-0005-0000-0000-000062050000}"/>
    <cellStyle name="Normalny 13 3 2 4 2" xfId="1378" xr:uid="{00000000-0005-0000-0000-000063050000}"/>
    <cellStyle name="Normalny 13 3 2 4 3" xfId="1379" xr:uid="{00000000-0005-0000-0000-000064050000}"/>
    <cellStyle name="Normalny 13 3 3" xfId="1380" xr:uid="{00000000-0005-0000-0000-000065050000}"/>
    <cellStyle name="Normalny 13 3 3 2" xfId="1381" xr:uid="{00000000-0005-0000-0000-000066050000}"/>
    <cellStyle name="Normalny 13 3 3 3" xfId="1382" xr:uid="{00000000-0005-0000-0000-000067050000}"/>
    <cellStyle name="Normalny 13 3 4" xfId="1383" xr:uid="{00000000-0005-0000-0000-000068050000}"/>
    <cellStyle name="Normalny 13 3 4 2" xfId="1384" xr:uid="{00000000-0005-0000-0000-000069050000}"/>
    <cellStyle name="Normalny 13 3 4 3" xfId="1385" xr:uid="{00000000-0005-0000-0000-00006A050000}"/>
    <cellStyle name="Normalny 13 3 5" xfId="1386" xr:uid="{00000000-0005-0000-0000-00006B050000}"/>
    <cellStyle name="Normalny 13 3 5 2" xfId="1387" xr:uid="{00000000-0005-0000-0000-00006C050000}"/>
    <cellStyle name="Normalny 13 3 5 3" xfId="1388" xr:uid="{00000000-0005-0000-0000-00006D050000}"/>
    <cellStyle name="Normalny 13 3 5 3 2" xfId="1389" xr:uid="{00000000-0005-0000-0000-00006E050000}"/>
    <cellStyle name="Normalny 13 3 5 4" xfId="1390" xr:uid="{00000000-0005-0000-0000-00006F050000}"/>
    <cellStyle name="Normalny 13 3 5_CHP" xfId="1391" xr:uid="{00000000-0005-0000-0000-000070050000}"/>
    <cellStyle name="Normalny 13 3 6" xfId="1392" xr:uid="{00000000-0005-0000-0000-000071050000}"/>
    <cellStyle name="Normalny 13 3 6 2" xfId="1393" xr:uid="{00000000-0005-0000-0000-000072050000}"/>
    <cellStyle name="Normalny 13 3 7" xfId="1394" xr:uid="{00000000-0005-0000-0000-000073050000}"/>
    <cellStyle name="Normalny 13 3 7 2" xfId="1395" xr:uid="{00000000-0005-0000-0000-000074050000}"/>
    <cellStyle name="Normalny 13 3_CHP" xfId="1396" xr:uid="{00000000-0005-0000-0000-000075050000}"/>
    <cellStyle name="Normalny 13 4" xfId="1397" xr:uid="{00000000-0005-0000-0000-000076050000}"/>
    <cellStyle name="Normalny 13 4 2" xfId="1398" xr:uid="{00000000-0005-0000-0000-000077050000}"/>
    <cellStyle name="Normalny 13 4 2 2" xfId="1399" xr:uid="{00000000-0005-0000-0000-000078050000}"/>
    <cellStyle name="Normalny 13 4 2 3" xfId="1400" xr:uid="{00000000-0005-0000-0000-000079050000}"/>
    <cellStyle name="Normalny 13 4 3" xfId="1401" xr:uid="{00000000-0005-0000-0000-00007A050000}"/>
    <cellStyle name="Normalny 13 4 4" xfId="1402" xr:uid="{00000000-0005-0000-0000-00007B050000}"/>
    <cellStyle name="Normalny 13 4 4 2" xfId="1403" xr:uid="{00000000-0005-0000-0000-00007C050000}"/>
    <cellStyle name="Normalny 13 4_CHP" xfId="1404" xr:uid="{00000000-0005-0000-0000-00007D050000}"/>
    <cellStyle name="Normalny 13 5" xfId="1405" xr:uid="{00000000-0005-0000-0000-00007E050000}"/>
    <cellStyle name="Normalny 13 5 2" xfId="1406" xr:uid="{00000000-0005-0000-0000-00007F050000}"/>
    <cellStyle name="Normalny 13 5 2 2" xfId="1407" xr:uid="{00000000-0005-0000-0000-000080050000}"/>
    <cellStyle name="Normalny 13 5 2 3" xfId="1408" xr:uid="{00000000-0005-0000-0000-000081050000}"/>
    <cellStyle name="Normalny 13 5 3" xfId="1409" xr:uid="{00000000-0005-0000-0000-000082050000}"/>
    <cellStyle name="Normalny 13 5 4" xfId="1410" xr:uid="{00000000-0005-0000-0000-000083050000}"/>
    <cellStyle name="Normalny 13 5 4 2" xfId="1411" xr:uid="{00000000-0005-0000-0000-000084050000}"/>
    <cellStyle name="Normalny 13 5_CHP" xfId="1412" xr:uid="{00000000-0005-0000-0000-000085050000}"/>
    <cellStyle name="Normalny 13 6" xfId="1413" xr:uid="{00000000-0005-0000-0000-000086050000}"/>
    <cellStyle name="Normalny 13 6 2" xfId="1414" xr:uid="{00000000-0005-0000-0000-000087050000}"/>
    <cellStyle name="Normalny 13 6 2 2" xfId="1415" xr:uid="{00000000-0005-0000-0000-000088050000}"/>
    <cellStyle name="Normalny 13 6 2 2 2" xfId="1416" xr:uid="{00000000-0005-0000-0000-000089050000}"/>
    <cellStyle name="Normalny 13 6 2 2 2 2" xfId="1417" xr:uid="{00000000-0005-0000-0000-00008A050000}"/>
    <cellStyle name="Normalny 13 6 2 2 2 3" xfId="1418" xr:uid="{00000000-0005-0000-0000-00008B050000}"/>
    <cellStyle name="Normalny 13 6 2 2 3" xfId="1419" xr:uid="{00000000-0005-0000-0000-00008C050000}"/>
    <cellStyle name="Normalny 13 6 2 2 4" xfId="2179" xr:uid="{0419EB6B-17E6-41AF-8B27-C816CD6D2D47}"/>
    <cellStyle name="Normalny 13 6 2 3" xfId="1420" xr:uid="{00000000-0005-0000-0000-00008D050000}"/>
    <cellStyle name="Normalny 13 6 2 4" xfId="1421" xr:uid="{00000000-0005-0000-0000-00008E050000}"/>
    <cellStyle name="Normalny 13 6 2 5" xfId="2178" xr:uid="{570B4DE2-0353-435C-BA7B-DA1DC2DD9CD9}"/>
    <cellStyle name="Normalny 13 6 2_CHP" xfId="1422" xr:uid="{00000000-0005-0000-0000-00008F050000}"/>
    <cellStyle name="Normalny 13 6 3" xfId="1423" xr:uid="{00000000-0005-0000-0000-000090050000}"/>
    <cellStyle name="Normalny 13 6 3 2" xfId="1424" xr:uid="{00000000-0005-0000-0000-000091050000}"/>
    <cellStyle name="Normalny 13 6 3 2 2" xfId="1425" xr:uid="{00000000-0005-0000-0000-000092050000}"/>
    <cellStyle name="Normalny 13 6 3 2 2 2" xfId="1426" xr:uid="{00000000-0005-0000-0000-000093050000}"/>
    <cellStyle name="Normalny 13 6 3 2 2 3" xfId="1427" xr:uid="{00000000-0005-0000-0000-000094050000}"/>
    <cellStyle name="Normalny 13 6 3 2 3" xfId="1428" xr:uid="{00000000-0005-0000-0000-000095050000}"/>
    <cellStyle name="Normalny 13 6 3 2 4" xfId="2181" xr:uid="{AF8EC05A-83CA-4E1D-AE44-B2B835776E08}"/>
    <cellStyle name="Normalny 13 6 3 3" xfId="1429" xr:uid="{00000000-0005-0000-0000-000096050000}"/>
    <cellStyle name="Normalny 13 6 3 4" xfId="1430" xr:uid="{00000000-0005-0000-0000-000097050000}"/>
    <cellStyle name="Normalny 13 6 3 5" xfId="2180" xr:uid="{77064398-4B83-4107-ABD6-97EC604A6A92}"/>
    <cellStyle name="Normalny 13 6 3_CHP" xfId="1431" xr:uid="{00000000-0005-0000-0000-000098050000}"/>
    <cellStyle name="Normalny 13 6 4" xfId="1432" xr:uid="{00000000-0005-0000-0000-000099050000}"/>
    <cellStyle name="Normalny 13 6 4 2" xfId="1433" xr:uid="{00000000-0005-0000-0000-00009A050000}"/>
    <cellStyle name="Normalny 13 6 4 2 2" xfId="1434" xr:uid="{00000000-0005-0000-0000-00009B050000}"/>
    <cellStyle name="Normalny 13 6 4 2 3" xfId="1435" xr:uid="{00000000-0005-0000-0000-00009C050000}"/>
    <cellStyle name="Normalny 13 6 4 3" xfId="1436" xr:uid="{00000000-0005-0000-0000-00009D050000}"/>
    <cellStyle name="Normalny 13 6 4 4" xfId="2182" xr:uid="{22DC0381-C663-4BE4-B95D-76C3C68F0422}"/>
    <cellStyle name="Normalny 13 6 5" xfId="1437" xr:uid="{00000000-0005-0000-0000-00009E050000}"/>
    <cellStyle name="Normalny 13 6 5 2" xfId="1438" xr:uid="{00000000-0005-0000-0000-00009F050000}"/>
    <cellStyle name="Normalny 13 6 5 2 2" xfId="1439" xr:uid="{00000000-0005-0000-0000-0000A0050000}"/>
    <cellStyle name="Normalny 13 6 5 2 3" xfId="1440" xr:uid="{00000000-0005-0000-0000-0000A1050000}"/>
    <cellStyle name="Normalny 13 6 5 3" xfId="1441" xr:uid="{00000000-0005-0000-0000-0000A2050000}"/>
    <cellStyle name="Normalny 13 6 5 4" xfId="2183" xr:uid="{DE56E6C7-1D99-4D39-9A03-A93E57E61D1A}"/>
    <cellStyle name="Normalny 13 6 6" xfId="1442" xr:uid="{00000000-0005-0000-0000-0000A3050000}"/>
    <cellStyle name="Normalny 13 6 7" xfId="1443" xr:uid="{00000000-0005-0000-0000-0000A4050000}"/>
    <cellStyle name="Normalny 13 6 8" xfId="2177" xr:uid="{83D96AE4-A921-49C9-8C3B-8EACCA00F82B}"/>
    <cellStyle name="Normalny 13 6_CHP" xfId="1444" xr:uid="{00000000-0005-0000-0000-0000A5050000}"/>
    <cellStyle name="Normalny 13 7" xfId="1445" xr:uid="{00000000-0005-0000-0000-0000A6050000}"/>
    <cellStyle name="Normalny 13 7 2" xfId="1446" xr:uid="{00000000-0005-0000-0000-0000A7050000}"/>
    <cellStyle name="Normalny 13 7 2 2" xfId="1447" xr:uid="{00000000-0005-0000-0000-0000A8050000}"/>
    <cellStyle name="Normalny 13 7 2 2 2" xfId="1448" xr:uid="{00000000-0005-0000-0000-0000A9050000}"/>
    <cellStyle name="Normalny 13 7 2 2 3" xfId="1449" xr:uid="{00000000-0005-0000-0000-0000AA050000}"/>
    <cellStyle name="Normalny 13 7 2 3" xfId="1450" xr:uid="{00000000-0005-0000-0000-0000AB050000}"/>
    <cellStyle name="Normalny 13 7 2 4" xfId="2185" xr:uid="{6138C99D-5EE9-4523-89C1-A747EA6AFD0E}"/>
    <cellStyle name="Normalny 13 7 3" xfId="1451" xr:uid="{00000000-0005-0000-0000-0000AC050000}"/>
    <cellStyle name="Normalny 13 7 4" xfId="1452" xr:uid="{00000000-0005-0000-0000-0000AD050000}"/>
    <cellStyle name="Normalny 13 7 5" xfId="2184" xr:uid="{1B7C0450-6D30-4424-94BF-961FA41F7308}"/>
    <cellStyle name="Normalny 13 7_CHP" xfId="1453" xr:uid="{00000000-0005-0000-0000-0000AE050000}"/>
    <cellStyle name="Normalny 13 8" xfId="1454" xr:uid="{00000000-0005-0000-0000-0000AF050000}"/>
    <cellStyle name="Normalny 13 8 2" xfId="1455" xr:uid="{00000000-0005-0000-0000-0000B0050000}"/>
    <cellStyle name="Normalny 13 8 2 2" xfId="1456" xr:uid="{00000000-0005-0000-0000-0000B1050000}"/>
    <cellStyle name="Normalny 13 8 2 2 2" xfId="1457" xr:uid="{00000000-0005-0000-0000-0000B2050000}"/>
    <cellStyle name="Normalny 13 8 2 2 3" xfId="1458" xr:uid="{00000000-0005-0000-0000-0000B3050000}"/>
    <cellStyle name="Normalny 13 8 2 3" xfId="1459" xr:uid="{00000000-0005-0000-0000-0000B4050000}"/>
    <cellStyle name="Normalny 13 8 2 4" xfId="2187" xr:uid="{B9795E1C-7E65-4582-A6AC-42A175847B31}"/>
    <cellStyle name="Normalny 13 8 3" xfId="1460" xr:uid="{00000000-0005-0000-0000-0000B5050000}"/>
    <cellStyle name="Normalny 13 8 4" xfId="1461" xr:uid="{00000000-0005-0000-0000-0000B6050000}"/>
    <cellStyle name="Normalny 13 8 5" xfId="2186" xr:uid="{1B71D062-D0B5-4FC7-A3B8-F5D499BEFA36}"/>
    <cellStyle name="Normalny 13 8_CHP" xfId="1462" xr:uid="{00000000-0005-0000-0000-0000B7050000}"/>
    <cellStyle name="Normalny 13 9" xfId="1463" xr:uid="{00000000-0005-0000-0000-0000B8050000}"/>
    <cellStyle name="Normalny 13 9 2" xfId="1464" xr:uid="{00000000-0005-0000-0000-0000B9050000}"/>
    <cellStyle name="Normalny 13 9 2 2" xfId="1465" xr:uid="{00000000-0005-0000-0000-0000BA050000}"/>
    <cellStyle name="Normalny 13 9 2 3" xfId="1466" xr:uid="{00000000-0005-0000-0000-0000BB050000}"/>
    <cellStyle name="Normalny 13 9 3" xfId="1467" xr:uid="{00000000-0005-0000-0000-0000BC050000}"/>
    <cellStyle name="Normalny 13 9 4" xfId="2188" xr:uid="{77DF589D-4028-42EB-8B6E-B0358F265D58}"/>
    <cellStyle name="Normalny 13_CHP" xfId="1468" xr:uid="{00000000-0005-0000-0000-0000BD050000}"/>
    <cellStyle name="Normalny 14" xfId="1469" xr:uid="{00000000-0005-0000-0000-0000BE050000}"/>
    <cellStyle name="Normalny 14 2" xfId="1470" xr:uid="{00000000-0005-0000-0000-0000BF050000}"/>
    <cellStyle name="Normalny 14 2 2" xfId="1471" xr:uid="{00000000-0005-0000-0000-0000C0050000}"/>
    <cellStyle name="Normalny 14 2 2 2" xfId="1472" xr:uid="{00000000-0005-0000-0000-0000C1050000}"/>
    <cellStyle name="Normalny 14 2 2 2 2" xfId="1473" xr:uid="{00000000-0005-0000-0000-0000C2050000}"/>
    <cellStyle name="Normalny 14 2 2 2 3" xfId="1474" xr:uid="{00000000-0005-0000-0000-0000C3050000}"/>
    <cellStyle name="Normalny 14 2 2 3" xfId="1475" xr:uid="{00000000-0005-0000-0000-0000C4050000}"/>
    <cellStyle name="Normalny 14 2 2 3 2" xfId="1476" xr:uid="{00000000-0005-0000-0000-0000C5050000}"/>
    <cellStyle name="Normalny 14 2 2 4" xfId="1477" xr:uid="{00000000-0005-0000-0000-0000C6050000}"/>
    <cellStyle name="Normalny 14 2 2 4 2" xfId="1478" xr:uid="{00000000-0005-0000-0000-0000C7050000}"/>
    <cellStyle name="Normalny 14 2 2 5" xfId="1479" xr:uid="{00000000-0005-0000-0000-0000C8050000}"/>
    <cellStyle name="Normalny 14 2 2_CHP" xfId="1480" xr:uid="{00000000-0005-0000-0000-0000C9050000}"/>
    <cellStyle name="Normalny 14 2 3" xfId="1481" xr:uid="{00000000-0005-0000-0000-0000CA050000}"/>
    <cellStyle name="Normalny 14 2 3 2" xfId="1482" xr:uid="{00000000-0005-0000-0000-0000CB050000}"/>
    <cellStyle name="Normalny 14 2 3 3" xfId="1483" xr:uid="{00000000-0005-0000-0000-0000CC050000}"/>
    <cellStyle name="Normalny 14 2 4" xfId="1484" xr:uid="{00000000-0005-0000-0000-0000CD050000}"/>
    <cellStyle name="Normalny 14 2 4 2" xfId="1485" xr:uid="{00000000-0005-0000-0000-0000CE050000}"/>
    <cellStyle name="Normalny 14 2 4 3" xfId="1486" xr:uid="{00000000-0005-0000-0000-0000CF050000}"/>
    <cellStyle name="Normalny 14 2 5" xfId="1487" xr:uid="{00000000-0005-0000-0000-0000D0050000}"/>
    <cellStyle name="Normalny 14 2_MocNettoER" xfId="1488" xr:uid="{00000000-0005-0000-0000-0000D1050000}"/>
    <cellStyle name="Normalny 14 3" xfId="1489" xr:uid="{00000000-0005-0000-0000-0000D2050000}"/>
    <cellStyle name="Normalny 14 3 2" xfId="1490" xr:uid="{00000000-0005-0000-0000-0000D3050000}"/>
    <cellStyle name="Normalny 14 3 3" xfId="1491" xr:uid="{00000000-0005-0000-0000-0000D4050000}"/>
    <cellStyle name="Normalny 14 4" xfId="1492" xr:uid="{00000000-0005-0000-0000-0000D5050000}"/>
    <cellStyle name="Normalny 14 4 2" xfId="1493" xr:uid="{00000000-0005-0000-0000-0000D6050000}"/>
    <cellStyle name="Normalny 14 4 3" xfId="1494" xr:uid="{00000000-0005-0000-0000-0000D7050000}"/>
    <cellStyle name="Normalny 14 5" xfId="1495" xr:uid="{00000000-0005-0000-0000-0000D8050000}"/>
    <cellStyle name="Normalny 14 5 2" xfId="1496" xr:uid="{00000000-0005-0000-0000-0000D9050000}"/>
    <cellStyle name="Normalny 14 6" xfId="1497" xr:uid="{00000000-0005-0000-0000-0000DA050000}"/>
    <cellStyle name="Normalny 14 6 2" xfId="1498" xr:uid="{00000000-0005-0000-0000-0000DB050000}"/>
    <cellStyle name="Normalny 14 7" xfId="1499" xr:uid="{00000000-0005-0000-0000-0000DC050000}"/>
    <cellStyle name="Normalny 14_CHP" xfId="1500" xr:uid="{00000000-0005-0000-0000-0000DD050000}"/>
    <cellStyle name="Normalny 15" xfId="1501" xr:uid="{00000000-0005-0000-0000-0000DE050000}"/>
    <cellStyle name="Normalny 15 2" xfId="1502" xr:uid="{00000000-0005-0000-0000-0000DF050000}"/>
    <cellStyle name="Normalny 15 2 2" xfId="1503" xr:uid="{00000000-0005-0000-0000-0000E0050000}"/>
    <cellStyle name="Normalny 15 2 3" xfId="1504" xr:uid="{00000000-0005-0000-0000-0000E1050000}"/>
    <cellStyle name="Normalny 15 3" xfId="1505" xr:uid="{00000000-0005-0000-0000-0000E2050000}"/>
    <cellStyle name="Normalny 15 4" xfId="1506" xr:uid="{00000000-0005-0000-0000-0000E3050000}"/>
    <cellStyle name="Normalny 15_COM_BND" xfId="1507" xr:uid="{00000000-0005-0000-0000-0000E4050000}"/>
    <cellStyle name="Normalny 16" xfId="1508" xr:uid="{00000000-0005-0000-0000-0000E5050000}"/>
    <cellStyle name="Normalny 16 2" xfId="1509" xr:uid="{00000000-0005-0000-0000-0000E6050000}"/>
    <cellStyle name="Normalny 16 2 2" xfId="1510" xr:uid="{00000000-0005-0000-0000-0000E7050000}"/>
    <cellStyle name="Normalny 16 2 3" xfId="1511" xr:uid="{00000000-0005-0000-0000-0000E8050000}"/>
    <cellStyle name="Normalny 16 3" xfId="1512" xr:uid="{00000000-0005-0000-0000-0000E9050000}"/>
    <cellStyle name="Normalny 16 3 2" xfId="1513" xr:uid="{00000000-0005-0000-0000-0000EA050000}"/>
    <cellStyle name="Normalny 16 4" xfId="1514" xr:uid="{00000000-0005-0000-0000-0000EB050000}"/>
    <cellStyle name="Normalny 16 4 2" xfId="1515" xr:uid="{00000000-0005-0000-0000-0000EC050000}"/>
    <cellStyle name="Normalny 16 5" xfId="1516" xr:uid="{00000000-0005-0000-0000-0000ED050000}"/>
    <cellStyle name="Normalny 16_CHP" xfId="1517" xr:uid="{00000000-0005-0000-0000-0000EE050000}"/>
    <cellStyle name="Normalny 17" xfId="1518" xr:uid="{00000000-0005-0000-0000-0000EF050000}"/>
    <cellStyle name="Normalny 17 2" xfId="1519" xr:uid="{00000000-0005-0000-0000-0000F0050000}"/>
    <cellStyle name="Normalny 18" xfId="1520" xr:uid="{00000000-0005-0000-0000-0000F1050000}"/>
    <cellStyle name="Normalny 18 2" xfId="1521" xr:uid="{00000000-0005-0000-0000-0000F2050000}"/>
    <cellStyle name="Normalny 18 2 2" xfId="1522" xr:uid="{00000000-0005-0000-0000-0000F3050000}"/>
    <cellStyle name="Normalny 18 3" xfId="1523" xr:uid="{00000000-0005-0000-0000-0000F4050000}"/>
    <cellStyle name="Normalny 18 3 2" xfId="1524" xr:uid="{00000000-0005-0000-0000-0000F5050000}"/>
    <cellStyle name="Normalny 18 4" xfId="1525" xr:uid="{00000000-0005-0000-0000-0000F6050000}"/>
    <cellStyle name="Normalny 18_CHP" xfId="1526" xr:uid="{00000000-0005-0000-0000-0000F7050000}"/>
    <cellStyle name="Normalny 19" xfId="1527" xr:uid="{00000000-0005-0000-0000-0000F8050000}"/>
    <cellStyle name="Normalny 2" xfId="1528" xr:uid="{00000000-0005-0000-0000-0000F9050000}"/>
    <cellStyle name="Normalny 2 2" xfId="1529" xr:uid="{00000000-0005-0000-0000-0000FA050000}"/>
    <cellStyle name="Normalny 2 2 2" xfId="1530" xr:uid="{00000000-0005-0000-0000-0000FB050000}"/>
    <cellStyle name="Normalny 2 2 3" xfId="1531" xr:uid="{00000000-0005-0000-0000-0000FC050000}"/>
    <cellStyle name="Normalny 2 3" xfId="1532" xr:uid="{00000000-0005-0000-0000-0000FD050000}"/>
    <cellStyle name="Normalny 2 3 2" xfId="1533" xr:uid="{00000000-0005-0000-0000-0000FE050000}"/>
    <cellStyle name="Normalny 2 3 3" xfId="1534" xr:uid="{00000000-0005-0000-0000-0000FF050000}"/>
    <cellStyle name="Normalny 2 4" xfId="1535" xr:uid="{00000000-0005-0000-0000-000000060000}"/>
    <cellStyle name="Normalny 2 5" xfId="1536" xr:uid="{00000000-0005-0000-0000-000001060000}"/>
    <cellStyle name="Normalny 2_COM_BND" xfId="1537" xr:uid="{00000000-0005-0000-0000-000002060000}"/>
    <cellStyle name="Normalny 20" xfId="1538" xr:uid="{00000000-0005-0000-0000-000003060000}"/>
    <cellStyle name="Normalny 20 2" xfId="1539" xr:uid="{00000000-0005-0000-0000-000004060000}"/>
    <cellStyle name="Normalny 20 3" xfId="1540" xr:uid="{00000000-0005-0000-0000-000005060000}"/>
    <cellStyle name="Normalny 20 4" xfId="1541" xr:uid="{00000000-0005-0000-0000-000006060000}"/>
    <cellStyle name="Normalny 20_CHP" xfId="1542" xr:uid="{00000000-0005-0000-0000-000007060000}"/>
    <cellStyle name="Normalny 21" xfId="1543" xr:uid="{00000000-0005-0000-0000-000008060000}"/>
    <cellStyle name="Normalny 21 2" xfId="1544" xr:uid="{00000000-0005-0000-0000-000009060000}"/>
    <cellStyle name="Normalny 21 3" xfId="1545" xr:uid="{00000000-0005-0000-0000-00000A060000}"/>
    <cellStyle name="Normalny 21 4" xfId="2196" xr:uid="{470AD680-3B8A-4BF0-B2F0-6980A5E342EB}"/>
    <cellStyle name="Normalny 22" xfId="1546" xr:uid="{00000000-0005-0000-0000-00000B060000}"/>
    <cellStyle name="Normalny 23" xfId="1547" xr:uid="{00000000-0005-0000-0000-00000C060000}"/>
    <cellStyle name="Normalny 24" xfId="1548" xr:uid="{00000000-0005-0000-0000-00000D060000}"/>
    <cellStyle name="Normalny 24 2" xfId="1549" xr:uid="{00000000-0005-0000-0000-00000E060000}"/>
    <cellStyle name="Normalny 25" xfId="1550" xr:uid="{00000000-0005-0000-0000-00000F060000}"/>
    <cellStyle name="Normalny 26" xfId="1551" xr:uid="{00000000-0005-0000-0000-000010060000}"/>
    <cellStyle name="Normalny 26 2" xfId="1552" xr:uid="{00000000-0005-0000-0000-000011060000}"/>
    <cellStyle name="Normalny 26 3" xfId="1553" xr:uid="{00000000-0005-0000-0000-000012060000}"/>
    <cellStyle name="Normalny 27" xfId="1554" xr:uid="{00000000-0005-0000-0000-000013060000}"/>
    <cellStyle name="Normalny 28" xfId="1555" xr:uid="{00000000-0005-0000-0000-000014060000}"/>
    <cellStyle name="Normalny 29" xfId="1556" xr:uid="{00000000-0005-0000-0000-000015060000}"/>
    <cellStyle name="Normalny 3" xfId="1557" xr:uid="{00000000-0005-0000-0000-000016060000}"/>
    <cellStyle name="Normalny 30" xfId="1558" xr:uid="{00000000-0005-0000-0000-000017060000}"/>
    <cellStyle name="Normalny 31" xfId="1559" xr:uid="{00000000-0005-0000-0000-000018060000}"/>
    <cellStyle name="Normalny 32" xfId="1560" xr:uid="{00000000-0005-0000-0000-000019060000}"/>
    <cellStyle name="Normalny 33" xfId="1561" xr:uid="{00000000-0005-0000-0000-00001A060000}"/>
    <cellStyle name="Normalny 34" xfId="1562" xr:uid="{00000000-0005-0000-0000-00001B060000}"/>
    <cellStyle name="Normalny 4" xfId="1563" xr:uid="{00000000-0005-0000-0000-00001C060000}"/>
    <cellStyle name="Normalny 5" xfId="1564" xr:uid="{00000000-0005-0000-0000-00001D060000}"/>
    <cellStyle name="Normalny 6" xfId="1565" xr:uid="{00000000-0005-0000-0000-00001E060000}"/>
    <cellStyle name="Normalny 7" xfId="1566" xr:uid="{00000000-0005-0000-0000-00001F060000}"/>
    <cellStyle name="Normalny 8" xfId="1567" xr:uid="{00000000-0005-0000-0000-000020060000}"/>
    <cellStyle name="Normalny 9" xfId="1568" xr:uid="{00000000-0005-0000-0000-000021060000}"/>
    <cellStyle name="Note 2" xfId="1569" xr:uid="{00000000-0005-0000-0000-000022060000}"/>
    <cellStyle name="Note 2 2" xfId="1570" xr:uid="{00000000-0005-0000-0000-000023060000}"/>
    <cellStyle name="Note 2 3" xfId="1571" xr:uid="{00000000-0005-0000-0000-000024060000}"/>
    <cellStyle name="Note 2 4" xfId="1572" xr:uid="{00000000-0005-0000-0000-000025060000}"/>
    <cellStyle name="Note 2_CHP" xfId="1573" xr:uid="{00000000-0005-0000-0000-000026060000}"/>
    <cellStyle name="Note 3" xfId="1574" xr:uid="{00000000-0005-0000-0000-000027060000}"/>
    <cellStyle name="Notiz 2" xfId="1575" xr:uid="{00000000-0005-0000-0000-000028060000}"/>
    <cellStyle name="Obliczenia" xfId="1576" xr:uid="{00000000-0005-0000-0000-000029060000}"/>
    <cellStyle name="Obliczenia 10" xfId="1577" xr:uid="{00000000-0005-0000-0000-00002A060000}"/>
    <cellStyle name="Obliczenia 10 2" xfId="1578" xr:uid="{00000000-0005-0000-0000-00002B060000}"/>
    <cellStyle name="Obliczenia 10 3" xfId="1579" xr:uid="{00000000-0005-0000-0000-00002C060000}"/>
    <cellStyle name="Obliczenia 10_CHP" xfId="1580" xr:uid="{00000000-0005-0000-0000-00002D060000}"/>
    <cellStyle name="Obliczenia 11" xfId="1581" xr:uid="{00000000-0005-0000-0000-00002E060000}"/>
    <cellStyle name="Obliczenia 11 2" xfId="1582" xr:uid="{00000000-0005-0000-0000-00002F060000}"/>
    <cellStyle name="Obliczenia 11_CHP" xfId="1583" xr:uid="{00000000-0005-0000-0000-000030060000}"/>
    <cellStyle name="Obliczenia 12" xfId="1584" xr:uid="{00000000-0005-0000-0000-000031060000}"/>
    <cellStyle name="Obliczenia 13" xfId="1585" xr:uid="{00000000-0005-0000-0000-000032060000}"/>
    <cellStyle name="Obliczenia 14" xfId="1586" xr:uid="{00000000-0005-0000-0000-000033060000}"/>
    <cellStyle name="Obliczenia 15" xfId="1587" xr:uid="{00000000-0005-0000-0000-000034060000}"/>
    <cellStyle name="Obliczenia 2" xfId="1588" xr:uid="{00000000-0005-0000-0000-000035060000}"/>
    <cellStyle name="Obliczenia 3" xfId="1589" xr:uid="{00000000-0005-0000-0000-000036060000}"/>
    <cellStyle name="Obliczenia 4" xfId="1590" xr:uid="{00000000-0005-0000-0000-000037060000}"/>
    <cellStyle name="Obliczenia 5" xfId="1591" xr:uid="{00000000-0005-0000-0000-000038060000}"/>
    <cellStyle name="Obliczenia 6" xfId="1592" xr:uid="{00000000-0005-0000-0000-000039060000}"/>
    <cellStyle name="Obliczenia 7" xfId="1593" xr:uid="{00000000-0005-0000-0000-00003A060000}"/>
    <cellStyle name="Obliczenia 8" xfId="1594" xr:uid="{00000000-0005-0000-0000-00003B060000}"/>
    <cellStyle name="Obliczenia 9" xfId="1595" xr:uid="{00000000-0005-0000-0000-00003C060000}"/>
    <cellStyle name="Obliczenia 9 2" xfId="1596" xr:uid="{00000000-0005-0000-0000-00003D060000}"/>
    <cellStyle name="Obliczenia 9 3" xfId="1597" xr:uid="{00000000-0005-0000-0000-00003E060000}"/>
    <cellStyle name="Obliczenia 9_CHP" xfId="1598" xr:uid="{00000000-0005-0000-0000-00003F060000}"/>
    <cellStyle name="Obliczenia_CHP" xfId="1599" xr:uid="{00000000-0005-0000-0000-000040060000}"/>
    <cellStyle name="Output 2" xfId="1600" xr:uid="{00000000-0005-0000-0000-000041060000}"/>
    <cellStyle name="Output 3" xfId="1601" xr:uid="{00000000-0005-0000-0000-000042060000}"/>
    <cellStyle name="Percent [2]" xfId="1602" xr:uid="{00000000-0005-0000-0000-000043060000}"/>
    <cellStyle name="Percent 2" xfId="1603" xr:uid="{00000000-0005-0000-0000-000044060000}"/>
    <cellStyle name="Percent 2 2" xfId="1604" xr:uid="{00000000-0005-0000-0000-000045060000}"/>
    <cellStyle name="Percent 2 3" xfId="1605" xr:uid="{00000000-0005-0000-0000-000046060000}"/>
    <cellStyle name="Percent 2 4" xfId="1606" xr:uid="{00000000-0005-0000-0000-000047060000}"/>
    <cellStyle name="Percent 3 2" xfId="1607" xr:uid="{00000000-0005-0000-0000-000048060000}"/>
    <cellStyle name="Pilkku_Layo9704" xfId="1608" xr:uid="{00000000-0005-0000-0000-000049060000}"/>
    <cellStyle name="Procentowy 2" xfId="1609" xr:uid="{00000000-0005-0000-0000-00004A060000}"/>
    <cellStyle name="Procentowy 2 10" xfId="1610" xr:uid="{00000000-0005-0000-0000-00004B060000}"/>
    <cellStyle name="Procentowy 2 2" xfId="1611" xr:uid="{00000000-0005-0000-0000-00004C060000}"/>
    <cellStyle name="Procentowy 2 2 2" xfId="1612" xr:uid="{00000000-0005-0000-0000-00004D060000}"/>
    <cellStyle name="Procentowy 2 2 2 2" xfId="1613" xr:uid="{00000000-0005-0000-0000-00004E060000}"/>
    <cellStyle name="Procentowy 2 2 2 3" xfId="1614" xr:uid="{00000000-0005-0000-0000-00004F060000}"/>
    <cellStyle name="Procentowy 2 2 3" xfId="1615" xr:uid="{00000000-0005-0000-0000-000050060000}"/>
    <cellStyle name="Procentowy 2 2 3 2" xfId="1616" xr:uid="{00000000-0005-0000-0000-000051060000}"/>
    <cellStyle name="Procentowy 2 2 3 3" xfId="1617" xr:uid="{00000000-0005-0000-0000-000052060000}"/>
    <cellStyle name="Procentowy 2 2 4" xfId="1618" xr:uid="{00000000-0005-0000-0000-000053060000}"/>
    <cellStyle name="Procentowy 2 2 5" xfId="1619" xr:uid="{00000000-0005-0000-0000-000054060000}"/>
    <cellStyle name="Procentowy 2 3" xfId="1620" xr:uid="{00000000-0005-0000-0000-000055060000}"/>
    <cellStyle name="Procentowy 2 3 2" xfId="1621" xr:uid="{00000000-0005-0000-0000-000056060000}"/>
    <cellStyle name="Procentowy 2 3 2 2" xfId="1622" xr:uid="{00000000-0005-0000-0000-000057060000}"/>
    <cellStyle name="Procentowy 2 3 2 2 2" xfId="1623" xr:uid="{00000000-0005-0000-0000-000058060000}"/>
    <cellStyle name="Procentowy 2 3 2 2 3" xfId="1624" xr:uid="{00000000-0005-0000-0000-000059060000}"/>
    <cellStyle name="Procentowy 2 3 2 3" xfId="1625" xr:uid="{00000000-0005-0000-0000-00005A060000}"/>
    <cellStyle name="Procentowy 2 3 2 3 2" xfId="1626" xr:uid="{00000000-0005-0000-0000-00005B060000}"/>
    <cellStyle name="Procentowy 2 3 2 4" xfId="1627" xr:uid="{00000000-0005-0000-0000-00005C060000}"/>
    <cellStyle name="Procentowy 2 3 2 4 2" xfId="1628" xr:uid="{00000000-0005-0000-0000-00005D060000}"/>
    <cellStyle name="Procentowy 2 3 2 5" xfId="1629" xr:uid="{00000000-0005-0000-0000-00005E060000}"/>
    <cellStyle name="Procentowy 2 3 3" xfId="1630" xr:uid="{00000000-0005-0000-0000-00005F060000}"/>
    <cellStyle name="Procentowy 2 3 3 2" xfId="1631" xr:uid="{00000000-0005-0000-0000-000060060000}"/>
    <cellStyle name="Procentowy 2 3 3 3" xfId="1632" xr:uid="{00000000-0005-0000-0000-000061060000}"/>
    <cellStyle name="Procentowy 2 3 4" xfId="1633" xr:uid="{00000000-0005-0000-0000-000062060000}"/>
    <cellStyle name="Procentowy 2 4" xfId="1634" xr:uid="{00000000-0005-0000-0000-000063060000}"/>
    <cellStyle name="Procentowy 2 4 2" xfId="1635" xr:uid="{00000000-0005-0000-0000-000064060000}"/>
    <cellStyle name="Procentowy 2 4 2 2" xfId="1636" xr:uid="{00000000-0005-0000-0000-000065060000}"/>
    <cellStyle name="Procentowy 2 4 2 3" xfId="1637" xr:uid="{00000000-0005-0000-0000-000066060000}"/>
    <cellStyle name="Procentowy 2 4 3" xfId="1638" xr:uid="{00000000-0005-0000-0000-000067060000}"/>
    <cellStyle name="Procentowy 2 4 3 2" xfId="1639" xr:uid="{00000000-0005-0000-0000-000068060000}"/>
    <cellStyle name="Procentowy 2 4 4" xfId="1640" xr:uid="{00000000-0005-0000-0000-000069060000}"/>
    <cellStyle name="Procentowy 2 4 4 2" xfId="1641" xr:uid="{00000000-0005-0000-0000-00006A060000}"/>
    <cellStyle name="Procentowy 2 4 5" xfId="1642" xr:uid="{00000000-0005-0000-0000-00006B060000}"/>
    <cellStyle name="Procentowy 2 5" xfId="1643" xr:uid="{00000000-0005-0000-0000-00006C060000}"/>
    <cellStyle name="Procentowy 2 6" xfId="1644" xr:uid="{00000000-0005-0000-0000-00006D060000}"/>
    <cellStyle name="Procentowy 2 6 2" xfId="1645" xr:uid="{00000000-0005-0000-0000-00006E060000}"/>
    <cellStyle name="Procentowy 2 6 2 2" xfId="1646" xr:uid="{00000000-0005-0000-0000-00006F060000}"/>
    <cellStyle name="Procentowy 2 6 3" xfId="1647" xr:uid="{00000000-0005-0000-0000-000070060000}"/>
    <cellStyle name="Procentowy 2 6 3 2" xfId="1648" xr:uid="{00000000-0005-0000-0000-000071060000}"/>
    <cellStyle name="Procentowy 2 6 4" xfId="1649" xr:uid="{00000000-0005-0000-0000-000072060000}"/>
    <cellStyle name="Procentowy 2 7" xfId="1650" xr:uid="{00000000-0005-0000-0000-000073060000}"/>
    <cellStyle name="Procentowy 2 7 2" xfId="1651" xr:uid="{00000000-0005-0000-0000-000074060000}"/>
    <cellStyle name="Procentowy 2 8" xfId="1652" xr:uid="{00000000-0005-0000-0000-000075060000}"/>
    <cellStyle name="Procentowy 2 8 2" xfId="1653" xr:uid="{00000000-0005-0000-0000-000076060000}"/>
    <cellStyle name="Procentowy 2 8 3" xfId="1654" xr:uid="{00000000-0005-0000-0000-000077060000}"/>
    <cellStyle name="Procentowy 2 9" xfId="1655" xr:uid="{00000000-0005-0000-0000-000078060000}"/>
    <cellStyle name="Procentowy 2 9 2" xfId="1656" xr:uid="{00000000-0005-0000-0000-000079060000}"/>
    <cellStyle name="Procentowy 3" xfId="1657" xr:uid="{00000000-0005-0000-0000-00007A060000}"/>
    <cellStyle name="Procentowy 4" xfId="1658" xr:uid="{00000000-0005-0000-0000-00007B060000}"/>
    <cellStyle name="Procentowy 4 2" xfId="1659" xr:uid="{00000000-0005-0000-0000-00007C060000}"/>
    <cellStyle name="Procentowy 4 3" xfId="1660" xr:uid="{00000000-0005-0000-0000-00007D060000}"/>
    <cellStyle name="Procentowy 4 4" xfId="1661" xr:uid="{00000000-0005-0000-0000-00007E060000}"/>
    <cellStyle name="Procentowy 5" xfId="1662" xr:uid="{00000000-0005-0000-0000-00007F060000}"/>
    <cellStyle name="Procentowy 5 2" xfId="1663" xr:uid="{00000000-0005-0000-0000-000080060000}"/>
    <cellStyle name="Procentowy 5 3" xfId="2201" xr:uid="{DAE7B3D7-DB9D-4D36-A9C1-EF0ED4EB8B72}"/>
    <cellStyle name="Prozent 2" xfId="1664" xr:uid="{00000000-0005-0000-0000-000081060000}"/>
    <cellStyle name="Prozent 2 2" xfId="1665" xr:uid="{00000000-0005-0000-0000-000082060000}"/>
    <cellStyle name="Prozent 3" xfId="1666" xr:uid="{00000000-0005-0000-0000-000083060000}"/>
    <cellStyle name="Prozent 4" xfId="1667" xr:uid="{00000000-0005-0000-0000-000084060000}"/>
    <cellStyle name="Prozent 5" xfId="1668" xr:uid="{00000000-0005-0000-0000-000085060000}"/>
    <cellStyle name="Prozent 5 2" xfId="1669" xr:uid="{00000000-0005-0000-0000-000086060000}"/>
    <cellStyle name="Prozent 5 2 2" xfId="1670" xr:uid="{00000000-0005-0000-0000-000087060000}"/>
    <cellStyle name="Prozent 5 2 3" xfId="1671" xr:uid="{00000000-0005-0000-0000-000088060000}"/>
    <cellStyle name="Prozent 5 2 3 2" xfId="1672" xr:uid="{00000000-0005-0000-0000-000089060000}"/>
    <cellStyle name="Prozent 5 2 3 3" xfId="1673" xr:uid="{00000000-0005-0000-0000-00008A060000}"/>
    <cellStyle name="Prozent 5 2 3 4" xfId="1674" xr:uid="{00000000-0005-0000-0000-00008B060000}"/>
    <cellStyle name="Prozent 5 3" xfId="1675" xr:uid="{00000000-0005-0000-0000-00008C060000}"/>
    <cellStyle name="Prozent 5 3 2" xfId="1676" xr:uid="{00000000-0005-0000-0000-00008D060000}"/>
    <cellStyle name="Prozent 5 3 3" xfId="1677" xr:uid="{00000000-0005-0000-0000-00008E060000}"/>
    <cellStyle name="Prozent 5 3 4" xfId="1678" xr:uid="{00000000-0005-0000-0000-00008F060000}"/>
    <cellStyle name="Prozent 5 3 4 2" xfId="2189" xr:uid="{408A7237-55FC-4FC7-B48D-525F0DC8BE6F}"/>
    <cellStyle name="Prozent 5 4" xfId="1679" xr:uid="{00000000-0005-0000-0000-000090060000}"/>
    <cellStyle name="Prozent 6" xfId="1680" xr:uid="{00000000-0005-0000-0000-000091060000}"/>
    <cellStyle name="Prozent 6 2" xfId="1681" xr:uid="{00000000-0005-0000-0000-000092060000}"/>
    <cellStyle name="Prozent 6 2 2" xfId="1682" xr:uid="{00000000-0005-0000-0000-000093060000}"/>
    <cellStyle name="Prozent 6 2 3" xfId="1683" xr:uid="{00000000-0005-0000-0000-000094060000}"/>
    <cellStyle name="Prozent 6 2 3 2" xfId="1684" xr:uid="{00000000-0005-0000-0000-000095060000}"/>
    <cellStyle name="Prozent 6 2 3 3" xfId="1685" xr:uid="{00000000-0005-0000-0000-000096060000}"/>
    <cellStyle name="Prozent 6 2 3 4" xfId="1686" xr:uid="{00000000-0005-0000-0000-000097060000}"/>
    <cellStyle name="Prozent 6 3" xfId="1687" xr:uid="{00000000-0005-0000-0000-000098060000}"/>
    <cellStyle name="Prozent 6 3 2" xfId="1688" xr:uid="{00000000-0005-0000-0000-000099060000}"/>
    <cellStyle name="Prozent 6 3 3" xfId="1689" xr:uid="{00000000-0005-0000-0000-00009A060000}"/>
    <cellStyle name="Prozent 6 3 4" xfId="1690" xr:uid="{00000000-0005-0000-0000-00009B060000}"/>
    <cellStyle name="Prozent 6 3 4 2" xfId="2190" xr:uid="{0248DDDB-B42E-4045-8384-02B7FAE228CA}"/>
    <cellStyle name="Prozent 6 4" xfId="1691" xr:uid="{00000000-0005-0000-0000-00009C060000}"/>
    <cellStyle name="Prozent 7" xfId="1692" xr:uid="{00000000-0005-0000-0000-00009D060000}"/>
    <cellStyle name="Prozent 8" xfId="1693" xr:uid="{00000000-0005-0000-0000-00009E060000}"/>
    <cellStyle name="Prozent 8 2" xfId="1694" xr:uid="{00000000-0005-0000-0000-00009F060000}"/>
    <cellStyle name="Prozent 8 2 2" xfId="1695" xr:uid="{00000000-0005-0000-0000-0000A0060000}"/>
    <cellStyle name="Prozent 8 2 3" xfId="1696" xr:uid="{00000000-0005-0000-0000-0000A1060000}"/>
    <cellStyle name="Prozent 8 3" xfId="1697" xr:uid="{00000000-0005-0000-0000-0000A2060000}"/>
    <cellStyle name="Prozent 8 4" xfId="1698" xr:uid="{00000000-0005-0000-0000-0000A3060000}"/>
    <cellStyle name="Pyör. luku_Layo9704" xfId="1699" xr:uid="{00000000-0005-0000-0000-0000A4060000}"/>
    <cellStyle name="Pyör. valuutta_Layo9704" xfId="1700" xr:uid="{00000000-0005-0000-0000-0000A5060000}"/>
    <cellStyle name="RangeName" xfId="1701" xr:uid="{00000000-0005-0000-0000-0000A6060000}"/>
    <cellStyle name="SAPBEXaggData" xfId="1702" xr:uid="{00000000-0005-0000-0000-0000A7060000}"/>
    <cellStyle name="SAPBEXaggDataEmph" xfId="1703" xr:uid="{00000000-0005-0000-0000-0000A8060000}"/>
    <cellStyle name="SAPBEXaggItem" xfId="1704" xr:uid="{00000000-0005-0000-0000-0000A9060000}"/>
    <cellStyle name="SAPBEXaggItemX" xfId="1705" xr:uid="{00000000-0005-0000-0000-0000AA060000}"/>
    <cellStyle name="SAPBEXchaText" xfId="1706" xr:uid="{00000000-0005-0000-0000-0000AB060000}"/>
    <cellStyle name="SAPBEXexcBad7" xfId="1707" xr:uid="{00000000-0005-0000-0000-0000AC060000}"/>
    <cellStyle name="SAPBEXexcBad8" xfId="1708" xr:uid="{00000000-0005-0000-0000-0000AD060000}"/>
    <cellStyle name="SAPBEXexcBad9" xfId="1709" xr:uid="{00000000-0005-0000-0000-0000AE060000}"/>
    <cellStyle name="SAPBEXexcCritical4" xfId="1710" xr:uid="{00000000-0005-0000-0000-0000AF060000}"/>
    <cellStyle name="SAPBEXexcCritical5" xfId="1711" xr:uid="{00000000-0005-0000-0000-0000B0060000}"/>
    <cellStyle name="SAPBEXexcCritical6" xfId="1712" xr:uid="{00000000-0005-0000-0000-0000B1060000}"/>
    <cellStyle name="SAPBEXexcGood1" xfId="1713" xr:uid="{00000000-0005-0000-0000-0000B2060000}"/>
    <cellStyle name="SAPBEXexcGood2" xfId="1714" xr:uid="{00000000-0005-0000-0000-0000B3060000}"/>
    <cellStyle name="SAPBEXexcGood3" xfId="1715" xr:uid="{00000000-0005-0000-0000-0000B4060000}"/>
    <cellStyle name="SAPBEXfilterDrill" xfId="1716" xr:uid="{00000000-0005-0000-0000-0000B5060000}"/>
    <cellStyle name="SAPBEXfilterItem" xfId="1717" xr:uid="{00000000-0005-0000-0000-0000B6060000}"/>
    <cellStyle name="SAPBEXfilterText" xfId="1718" xr:uid="{00000000-0005-0000-0000-0000B7060000}"/>
    <cellStyle name="SAPBEXformats" xfId="1719" xr:uid="{00000000-0005-0000-0000-0000B8060000}"/>
    <cellStyle name="SAPBEXheaderItem" xfId="1720" xr:uid="{00000000-0005-0000-0000-0000B9060000}"/>
    <cellStyle name="SAPBEXheaderText" xfId="1721" xr:uid="{00000000-0005-0000-0000-0000BA060000}"/>
    <cellStyle name="SAPBEXHLevel0" xfId="1722" xr:uid="{00000000-0005-0000-0000-0000BB060000}"/>
    <cellStyle name="SAPBEXHLevel0X" xfId="1723" xr:uid="{00000000-0005-0000-0000-0000BC060000}"/>
    <cellStyle name="SAPBEXHLevel1" xfId="1724" xr:uid="{00000000-0005-0000-0000-0000BD060000}"/>
    <cellStyle name="SAPBEXHLevel1X" xfId="1725" xr:uid="{00000000-0005-0000-0000-0000BE060000}"/>
    <cellStyle name="SAPBEXHLevel2" xfId="1726" xr:uid="{00000000-0005-0000-0000-0000BF060000}"/>
    <cellStyle name="SAPBEXHLevel2X" xfId="1727" xr:uid="{00000000-0005-0000-0000-0000C0060000}"/>
    <cellStyle name="SAPBEXHLevel3" xfId="1728" xr:uid="{00000000-0005-0000-0000-0000C1060000}"/>
    <cellStyle name="SAPBEXHLevel3X" xfId="1729" xr:uid="{00000000-0005-0000-0000-0000C2060000}"/>
    <cellStyle name="SAPBEXresData" xfId="1730" xr:uid="{00000000-0005-0000-0000-0000C3060000}"/>
    <cellStyle name="SAPBEXresDataEmph" xfId="1731" xr:uid="{00000000-0005-0000-0000-0000C4060000}"/>
    <cellStyle name="SAPBEXresItem" xfId="1732" xr:uid="{00000000-0005-0000-0000-0000C5060000}"/>
    <cellStyle name="SAPBEXresItemX" xfId="1733" xr:uid="{00000000-0005-0000-0000-0000C6060000}"/>
    <cellStyle name="SAPBEXstdData" xfId="1734" xr:uid="{00000000-0005-0000-0000-0000C7060000}"/>
    <cellStyle name="SAPBEXstdDataEmph" xfId="1735" xr:uid="{00000000-0005-0000-0000-0000C8060000}"/>
    <cellStyle name="SAPBEXstdItem" xfId="1736" xr:uid="{00000000-0005-0000-0000-0000C9060000}"/>
    <cellStyle name="SAPBEXstdItemX" xfId="1737" xr:uid="{00000000-0005-0000-0000-0000CA060000}"/>
    <cellStyle name="SAPBEXtitle" xfId="1738" xr:uid="{00000000-0005-0000-0000-0000CB060000}"/>
    <cellStyle name="SAPBEXundefined" xfId="1739" xr:uid="{00000000-0005-0000-0000-0000CC060000}"/>
    <cellStyle name="Schlecht 2" xfId="1740" xr:uid="{00000000-0005-0000-0000-0000CD060000}"/>
    <cellStyle name="Shade" xfId="1741" xr:uid="{00000000-0005-0000-0000-0000CE060000}"/>
    <cellStyle name="Standaard_Blad1" xfId="1742" xr:uid="{00000000-0005-0000-0000-0000CF060000}"/>
    <cellStyle name="Standard 10" xfId="1743" xr:uid="{00000000-0005-0000-0000-0000D0060000}"/>
    <cellStyle name="Standard 10 2" xfId="1744" xr:uid="{00000000-0005-0000-0000-0000D1060000}"/>
    <cellStyle name="Standard 11" xfId="1745" xr:uid="{00000000-0005-0000-0000-0000D2060000}"/>
    <cellStyle name="Standard 11 2" xfId="1746" xr:uid="{00000000-0005-0000-0000-0000D3060000}"/>
    <cellStyle name="Standard 11 2 2" xfId="1747" xr:uid="{00000000-0005-0000-0000-0000D4060000}"/>
    <cellStyle name="Standard 11 2 3" xfId="1748" xr:uid="{00000000-0005-0000-0000-0000D5060000}"/>
    <cellStyle name="Standard 11 2 4" xfId="1749" xr:uid="{00000000-0005-0000-0000-0000D6060000}"/>
    <cellStyle name="Standard 11 2_CHP" xfId="1750" xr:uid="{00000000-0005-0000-0000-0000D7060000}"/>
    <cellStyle name="Standard 11 3" xfId="1751" xr:uid="{00000000-0005-0000-0000-0000D8060000}"/>
    <cellStyle name="Standard 11 3 2" xfId="1752" xr:uid="{00000000-0005-0000-0000-0000D9060000}"/>
    <cellStyle name="Standard 11 3 3" xfId="1753" xr:uid="{00000000-0005-0000-0000-0000DA060000}"/>
    <cellStyle name="Standard 11 3 4" xfId="1754" xr:uid="{00000000-0005-0000-0000-0000DB060000}"/>
    <cellStyle name="Standard 11 3_CHP" xfId="1755" xr:uid="{00000000-0005-0000-0000-0000DC060000}"/>
    <cellStyle name="Standard 11 4" xfId="1756" xr:uid="{00000000-0005-0000-0000-0000DD060000}"/>
    <cellStyle name="Standard 11 4 2" xfId="1757" xr:uid="{00000000-0005-0000-0000-0000DE060000}"/>
    <cellStyle name="Standard 11 5" xfId="1758" xr:uid="{00000000-0005-0000-0000-0000DF060000}"/>
    <cellStyle name="Standard 11 5 2" xfId="1759" xr:uid="{00000000-0005-0000-0000-0000E0060000}"/>
    <cellStyle name="Standard 11 5 3" xfId="1760" xr:uid="{00000000-0005-0000-0000-0000E1060000}"/>
    <cellStyle name="Standard 11 6" xfId="1761" xr:uid="{00000000-0005-0000-0000-0000E2060000}"/>
    <cellStyle name="Standard 12" xfId="1762" xr:uid="{00000000-0005-0000-0000-0000E3060000}"/>
    <cellStyle name="Standard 12 10" xfId="1763" xr:uid="{00000000-0005-0000-0000-0000E4060000}"/>
    <cellStyle name="Standard 12 10 2" xfId="1764" xr:uid="{00000000-0005-0000-0000-0000E5060000}"/>
    <cellStyle name="Standard 12 10 3" xfId="1765" xr:uid="{00000000-0005-0000-0000-0000E6060000}"/>
    <cellStyle name="Standard 12 2" xfId="1766" xr:uid="{00000000-0005-0000-0000-0000E7060000}"/>
    <cellStyle name="Standard 12 2 2" xfId="1767" xr:uid="{00000000-0005-0000-0000-0000E8060000}"/>
    <cellStyle name="Standard 12 2 2 2" xfId="1768" xr:uid="{00000000-0005-0000-0000-0000E9060000}"/>
    <cellStyle name="Standard 12 2 2 2 2" xfId="1769" xr:uid="{00000000-0005-0000-0000-0000EA060000}"/>
    <cellStyle name="Standard 12 2 2 2 2 2" xfId="1770" xr:uid="{00000000-0005-0000-0000-0000EB060000}"/>
    <cellStyle name="Standard 12 2 2 2 2 3" xfId="1771" xr:uid="{00000000-0005-0000-0000-0000EC060000}"/>
    <cellStyle name="Standard 12 2 2 2 3" xfId="1772" xr:uid="{00000000-0005-0000-0000-0000ED060000}"/>
    <cellStyle name="Standard 12 2 2 3" xfId="1773" xr:uid="{00000000-0005-0000-0000-0000EE060000}"/>
    <cellStyle name="Standard 12 2 2 4" xfId="1774" xr:uid="{00000000-0005-0000-0000-0000EF060000}"/>
    <cellStyle name="Standard 12 2 2_CHP" xfId="1775" xr:uid="{00000000-0005-0000-0000-0000F0060000}"/>
    <cellStyle name="Standard 12 2 3" xfId="1776" xr:uid="{00000000-0005-0000-0000-0000F1060000}"/>
    <cellStyle name="Standard 12 2 3 2" xfId="1777" xr:uid="{00000000-0005-0000-0000-0000F2060000}"/>
    <cellStyle name="Standard 12 2 4" xfId="1778" xr:uid="{00000000-0005-0000-0000-0000F3060000}"/>
    <cellStyle name="Standard 12 2 4 2" xfId="1779" xr:uid="{00000000-0005-0000-0000-0000F4060000}"/>
    <cellStyle name="Standard 12 2 5" xfId="1780" xr:uid="{00000000-0005-0000-0000-0000F5060000}"/>
    <cellStyle name="Standard 12 2 6" xfId="1781" xr:uid="{00000000-0005-0000-0000-0000F6060000}"/>
    <cellStyle name="Standard 12 2_CHP" xfId="1782" xr:uid="{00000000-0005-0000-0000-0000F7060000}"/>
    <cellStyle name="Standard 12 3" xfId="1783" xr:uid="{00000000-0005-0000-0000-0000F8060000}"/>
    <cellStyle name="Standard 12 3 2" xfId="1784" xr:uid="{00000000-0005-0000-0000-0000F9060000}"/>
    <cellStyle name="Standard 12 3 3" xfId="1785" xr:uid="{00000000-0005-0000-0000-0000FA060000}"/>
    <cellStyle name="Standard 12 4" xfId="1786" xr:uid="{00000000-0005-0000-0000-0000FB060000}"/>
    <cellStyle name="Standard 12 4 2" xfId="1787" xr:uid="{00000000-0005-0000-0000-0000FC060000}"/>
    <cellStyle name="Standard 12 4 3" xfId="1788" xr:uid="{00000000-0005-0000-0000-0000FD060000}"/>
    <cellStyle name="Standard 12 5" xfId="1789" xr:uid="{00000000-0005-0000-0000-0000FE060000}"/>
    <cellStyle name="Standard 12 6" xfId="1790" xr:uid="{00000000-0005-0000-0000-0000FF060000}"/>
    <cellStyle name="Standard 12 6 2" xfId="1791" xr:uid="{00000000-0005-0000-0000-000000070000}"/>
    <cellStyle name="Standard 12 6 3" xfId="1792" xr:uid="{00000000-0005-0000-0000-000001070000}"/>
    <cellStyle name="Standard 12 7" xfId="1793" xr:uid="{00000000-0005-0000-0000-000002070000}"/>
    <cellStyle name="Standard 12 7 2" xfId="1794" xr:uid="{00000000-0005-0000-0000-000003070000}"/>
    <cellStyle name="Standard 12 7 3" xfId="1795" xr:uid="{00000000-0005-0000-0000-000004070000}"/>
    <cellStyle name="Standard 12 8" xfId="1796" xr:uid="{00000000-0005-0000-0000-000005070000}"/>
    <cellStyle name="Standard 12 9" xfId="1797" xr:uid="{00000000-0005-0000-0000-000006070000}"/>
    <cellStyle name="Standard 12 9 2" xfId="1798" xr:uid="{00000000-0005-0000-0000-000007070000}"/>
    <cellStyle name="Standard 12 9 3" xfId="1799" xr:uid="{00000000-0005-0000-0000-000008070000}"/>
    <cellStyle name="Standard 12_CHP" xfId="1800" xr:uid="{00000000-0005-0000-0000-000009070000}"/>
    <cellStyle name="Standard 13" xfId="1801" xr:uid="{00000000-0005-0000-0000-00000A070000}"/>
    <cellStyle name="Standard 13 2" xfId="1802" xr:uid="{00000000-0005-0000-0000-00000B070000}"/>
    <cellStyle name="Standard 13 3" xfId="1803" xr:uid="{00000000-0005-0000-0000-00000C070000}"/>
    <cellStyle name="Standard 13 4" xfId="1804" xr:uid="{00000000-0005-0000-0000-00000D070000}"/>
    <cellStyle name="Standard 13_CHP" xfId="1805" xr:uid="{00000000-0005-0000-0000-00000E070000}"/>
    <cellStyle name="Standard 14" xfId="1806" xr:uid="{00000000-0005-0000-0000-00000F070000}"/>
    <cellStyle name="Standard 15" xfId="1807" xr:uid="{00000000-0005-0000-0000-000010070000}"/>
    <cellStyle name="Standard 2" xfId="1808" xr:uid="{00000000-0005-0000-0000-000011070000}"/>
    <cellStyle name="Standard 2 2" xfId="1809" xr:uid="{00000000-0005-0000-0000-000012070000}"/>
    <cellStyle name="Standard 2 3" xfId="1810" xr:uid="{00000000-0005-0000-0000-000013070000}"/>
    <cellStyle name="Standard 2 3 2" xfId="1811" xr:uid="{00000000-0005-0000-0000-000014070000}"/>
    <cellStyle name="Standard 2 3 2 2" xfId="1812" xr:uid="{00000000-0005-0000-0000-000015070000}"/>
    <cellStyle name="Standard 2 3 2 3" xfId="1813" xr:uid="{00000000-0005-0000-0000-000016070000}"/>
    <cellStyle name="Standard 2 3 2_CHP" xfId="1814" xr:uid="{00000000-0005-0000-0000-000017070000}"/>
    <cellStyle name="Standard 2 3 3" xfId="1815" xr:uid="{00000000-0005-0000-0000-000018070000}"/>
    <cellStyle name="Standard 2 3 4" xfId="1816" xr:uid="{00000000-0005-0000-0000-000019070000}"/>
    <cellStyle name="Standard 2 3_CHP" xfId="1817" xr:uid="{00000000-0005-0000-0000-00001A070000}"/>
    <cellStyle name="Standard 2 4" xfId="1818" xr:uid="{00000000-0005-0000-0000-00001B070000}"/>
    <cellStyle name="Standard 2 4 2" xfId="1819" xr:uid="{00000000-0005-0000-0000-00001C070000}"/>
    <cellStyle name="Standard 2 4 2 2" xfId="1820" xr:uid="{00000000-0005-0000-0000-00001D070000}"/>
    <cellStyle name="Standard 2 4 2 3" xfId="1821" xr:uid="{00000000-0005-0000-0000-00001E070000}"/>
    <cellStyle name="Standard 2 4 2_CHP" xfId="1822" xr:uid="{00000000-0005-0000-0000-00001F070000}"/>
    <cellStyle name="Standard 2 4 3" xfId="1823" xr:uid="{00000000-0005-0000-0000-000020070000}"/>
    <cellStyle name="Standard 2 4 4" xfId="1824" xr:uid="{00000000-0005-0000-0000-000021070000}"/>
    <cellStyle name="Standard 2 4_CHP" xfId="1825" xr:uid="{00000000-0005-0000-0000-000022070000}"/>
    <cellStyle name="Standard 2 5" xfId="1826" xr:uid="{00000000-0005-0000-0000-000023070000}"/>
    <cellStyle name="Standard 3" xfId="1827" xr:uid="{00000000-0005-0000-0000-000024070000}"/>
    <cellStyle name="Standard 3 2" xfId="1828" xr:uid="{00000000-0005-0000-0000-000025070000}"/>
    <cellStyle name="Standard 3_PL" xfId="1829" xr:uid="{00000000-0005-0000-0000-000026070000}"/>
    <cellStyle name="Standard 4" xfId="1830" xr:uid="{00000000-0005-0000-0000-000027070000}"/>
    <cellStyle name="Standard 4 2" xfId="1831" xr:uid="{00000000-0005-0000-0000-000028070000}"/>
    <cellStyle name="Standard 4_PL" xfId="1832" xr:uid="{00000000-0005-0000-0000-000029070000}"/>
    <cellStyle name="Standard 5" xfId="1833" xr:uid="{00000000-0005-0000-0000-00002A070000}"/>
    <cellStyle name="Standard 5 2" xfId="1834" xr:uid="{00000000-0005-0000-0000-00002B070000}"/>
    <cellStyle name="Standard 5 2 2" xfId="1835" xr:uid="{00000000-0005-0000-0000-00002C070000}"/>
    <cellStyle name="Standard 5 2 2 2" xfId="1836" xr:uid="{00000000-0005-0000-0000-00002D070000}"/>
    <cellStyle name="Standard 5 2 2 2 2" xfId="1837" xr:uid="{00000000-0005-0000-0000-00002E070000}"/>
    <cellStyle name="Standard 5 2 2 2 3" xfId="1838" xr:uid="{00000000-0005-0000-0000-00002F070000}"/>
    <cellStyle name="Standard 5 2 2 2_CHP" xfId="1839" xr:uid="{00000000-0005-0000-0000-000030070000}"/>
    <cellStyle name="Standard 5 2 2 3" xfId="1840" xr:uid="{00000000-0005-0000-0000-000031070000}"/>
    <cellStyle name="Standard 5 2 2 4" xfId="1841" xr:uid="{00000000-0005-0000-0000-000032070000}"/>
    <cellStyle name="Standard 5 2 2_CHP" xfId="1842" xr:uid="{00000000-0005-0000-0000-000033070000}"/>
    <cellStyle name="Standard 5 2 3" xfId="1843" xr:uid="{00000000-0005-0000-0000-000034070000}"/>
    <cellStyle name="Standard 5 2 3 2" xfId="1844" xr:uid="{00000000-0005-0000-0000-000035070000}"/>
    <cellStyle name="Standard 5 2 3 2 2" xfId="1845" xr:uid="{00000000-0005-0000-0000-000036070000}"/>
    <cellStyle name="Standard 5 2 3 2 3" xfId="1846" xr:uid="{00000000-0005-0000-0000-000037070000}"/>
    <cellStyle name="Standard 5 2 3 2_CHP" xfId="1847" xr:uid="{00000000-0005-0000-0000-000038070000}"/>
    <cellStyle name="Standard 5 2 3 3" xfId="1848" xr:uid="{00000000-0005-0000-0000-000039070000}"/>
    <cellStyle name="Standard 5 2 3 4" xfId="1849" xr:uid="{00000000-0005-0000-0000-00003A070000}"/>
    <cellStyle name="Standard 5 2 3_CHP" xfId="1850" xr:uid="{00000000-0005-0000-0000-00003B070000}"/>
    <cellStyle name="Standard 5 2 4" xfId="1851" xr:uid="{00000000-0005-0000-0000-00003C070000}"/>
    <cellStyle name="Standard 5 2 4 2" xfId="1852" xr:uid="{00000000-0005-0000-0000-00003D070000}"/>
    <cellStyle name="Standard 5 2 4 3" xfId="1853" xr:uid="{00000000-0005-0000-0000-00003E070000}"/>
    <cellStyle name="Standard 5 2 4_CHP" xfId="1854" xr:uid="{00000000-0005-0000-0000-00003F070000}"/>
    <cellStyle name="Standard 5 2 5" xfId="1855" xr:uid="{00000000-0005-0000-0000-000040070000}"/>
    <cellStyle name="Standard 5 2 6" xfId="1856" xr:uid="{00000000-0005-0000-0000-000041070000}"/>
    <cellStyle name="Standard 5 2_CHP" xfId="1857" xr:uid="{00000000-0005-0000-0000-000042070000}"/>
    <cellStyle name="Standard 5 3" xfId="1858" xr:uid="{00000000-0005-0000-0000-000043070000}"/>
    <cellStyle name="Standard 5 3 2" xfId="1859" xr:uid="{00000000-0005-0000-0000-000044070000}"/>
    <cellStyle name="Standard 5 3 2 2" xfId="1860" xr:uid="{00000000-0005-0000-0000-000045070000}"/>
    <cellStyle name="Standard 5 3 2 3" xfId="1861" xr:uid="{00000000-0005-0000-0000-000046070000}"/>
    <cellStyle name="Standard 5 3 2_CHP" xfId="1862" xr:uid="{00000000-0005-0000-0000-000047070000}"/>
    <cellStyle name="Standard 5 3 3" xfId="1863" xr:uid="{00000000-0005-0000-0000-000048070000}"/>
    <cellStyle name="Standard 5 3 4" xfId="1864" xr:uid="{00000000-0005-0000-0000-000049070000}"/>
    <cellStyle name="Standard 5 3_CHP" xfId="1865" xr:uid="{00000000-0005-0000-0000-00004A070000}"/>
    <cellStyle name="Standard 5 4" xfId="1866" xr:uid="{00000000-0005-0000-0000-00004B070000}"/>
    <cellStyle name="Standard 5 4 2" xfId="1867" xr:uid="{00000000-0005-0000-0000-00004C070000}"/>
    <cellStyle name="Standard 5 4 2 2" xfId="1868" xr:uid="{00000000-0005-0000-0000-00004D070000}"/>
    <cellStyle name="Standard 5 4 2 3" xfId="1869" xr:uid="{00000000-0005-0000-0000-00004E070000}"/>
    <cellStyle name="Standard 5 4 2_CHP" xfId="1870" xr:uid="{00000000-0005-0000-0000-00004F070000}"/>
    <cellStyle name="Standard 5 4 3" xfId="1871" xr:uid="{00000000-0005-0000-0000-000050070000}"/>
    <cellStyle name="Standard 5 4 4" xfId="1872" xr:uid="{00000000-0005-0000-0000-000051070000}"/>
    <cellStyle name="Standard 5 4_CHP" xfId="1873" xr:uid="{00000000-0005-0000-0000-000052070000}"/>
    <cellStyle name="Standard 5 5" xfId="1874" xr:uid="{00000000-0005-0000-0000-000053070000}"/>
    <cellStyle name="Standard 5 5 2" xfId="1875" xr:uid="{00000000-0005-0000-0000-000054070000}"/>
    <cellStyle name="Standard 5 5 2 2" xfId="1876" xr:uid="{00000000-0005-0000-0000-000055070000}"/>
    <cellStyle name="Standard 5 5 2 3" xfId="1877" xr:uid="{00000000-0005-0000-0000-000056070000}"/>
    <cellStyle name="Standard 5 5 2_CHP" xfId="1878" xr:uid="{00000000-0005-0000-0000-000057070000}"/>
    <cellStyle name="Standard 5 5 3" xfId="1879" xr:uid="{00000000-0005-0000-0000-000058070000}"/>
    <cellStyle name="Standard 5 5 4" xfId="1880" xr:uid="{00000000-0005-0000-0000-000059070000}"/>
    <cellStyle name="Standard 5 5_CHP" xfId="1881" xr:uid="{00000000-0005-0000-0000-00005A070000}"/>
    <cellStyle name="Standard 5 6" xfId="1882" xr:uid="{00000000-0005-0000-0000-00005B070000}"/>
    <cellStyle name="Standard 5 6 2" xfId="1883" xr:uid="{00000000-0005-0000-0000-00005C070000}"/>
    <cellStyle name="Standard 5 6 3" xfId="1884" xr:uid="{00000000-0005-0000-0000-00005D070000}"/>
    <cellStyle name="Standard 5 6_CHP" xfId="1885" xr:uid="{00000000-0005-0000-0000-00005E070000}"/>
    <cellStyle name="Standard 5 7" xfId="1886" xr:uid="{00000000-0005-0000-0000-00005F070000}"/>
    <cellStyle name="Standard 5 8" xfId="1887" xr:uid="{00000000-0005-0000-0000-000060070000}"/>
    <cellStyle name="Standard 5_CHP" xfId="1888" xr:uid="{00000000-0005-0000-0000-000061070000}"/>
    <cellStyle name="Standard 6" xfId="1889" xr:uid="{00000000-0005-0000-0000-000062070000}"/>
    <cellStyle name="Standard 6 2" xfId="1890" xr:uid="{00000000-0005-0000-0000-000063070000}"/>
    <cellStyle name="Standard 6 2 2" xfId="1891" xr:uid="{00000000-0005-0000-0000-000064070000}"/>
    <cellStyle name="Standard 6 2 3" xfId="1892" xr:uid="{00000000-0005-0000-0000-000065070000}"/>
    <cellStyle name="Standard 6 2 4" xfId="1893" xr:uid="{00000000-0005-0000-0000-000066070000}"/>
    <cellStyle name="Standard 6 2_CHP" xfId="1894" xr:uid="{00000000-0005-0000-0000-000067070000}"/>
    <cellStyle name="Standard 7" xfId="1895" xr:uid="{00000000-0005-0000-0000-000068070000}"/>
    <cellStyle name="Standard 8" xfId="1896" xr:uid="{00000000-0005-0000-0000-000069070000}"/>
    <cellStyle name="Standard 8 2" xfId="1897" xr:uid="{00000000-0005-0000-0000-00006A070000}"/>
    <cellStyle name="Standard 8 2 2" xfId="1898" xr:uid="{00000000-0005-0000-0000-00006B070000}"/>
    <cellStyle name="Standard 8 2 3" xfId="1899" xr:uid="{00000000-0005-0000-0000-00006C070000}"/>
    <cellStyle name="Standard 8 2_CHP" xfId="1900" xr:uid="{00000000-0005-0000-0000-00006D070000}"/>
    <cellStyle name="Standard 8 3" xfId="1901" xr:uid="{00000000-0005-0000-0000-00006E070000}"/>
    <cellStyle name="Standard 8 4" xfId="1902" xr:uid="{00000000-0005-0000-0000-00006F070000}"/>
    <cellStyle name="Standard 8_CHP" xfId="1903" xr:uid="{00000000-0005-0000-0000-000070070000}"/>
    <cellStyle name="Standard 9" xfId="1904" xr:uid="{00000000-0005-0000-0000-000071070000}"/>
    <cellStyle name="Standard 9 2" xfId="1905" xr:uid="{00000000-0005-0000-0000-000072070000}"/>
    <cellStyle name="Standard 9 2 2" xfId="1906" xr:uid="{00000000-0005-0000-0000-000073070000}"/>
    <cellStyle name="Standard 9 2 3" xfId="1907" xr:uid="{00000000-0005-0000-0000-000074070000}"/>
    <cellStyle name="Standard 9 2_CHP" xfId="1908" xr:uid="{00000000-0005-0000-0000-000075070000}"/>
    <cellStyle name="Standard 9 3" xfId="1909" xr:uid="{00000000-0005-0000-0000-000076070000}"/>
    <cellStyle name="Standard 9 4" xfId="1910" xr:uid="{00000000-0005-0000-0000-000077070000}"/>
    <cellStyle name="Standard 9_CHP" xfId="1911" xr:uid="{00000000-0005-0000-0000-000078070000}"/>
    <cellStyle name="Standard_Results_Pan_EU_OLGA_NUC" xfId="1912" xr:uid="{00000000-0005-0000-0000-000079070000}"/>
    <cellStyle name="Style 21" xfId="1913" xr:uid="{00000000-0005-0000-0000-00007A070000}"/>
    <cellStyle name="Style 21 2" xfId="1914" xr:uid="{00000000-0005-0000-0000-00007B070000}"/>
    <cellStyle name="Style 21 3" xfId="1915" xr:uid="{00000000-0005-0000-0000-00007C070000}"/>
    <cellStyle name="Style 21 4" xfId="1916" xr:uid="{00000000-0005-0000-0000-00007D070000}"/>
    <cellStyle name="Style 21 5" xfId="1917" xr:uid="{00000000-0005-0000-0000-00007E070000}"/>
    <cellStyle name="Style 22" xfId="1918" xr:uid="{00000000-0005-0000-0000-00007F070000}"/>
    <cellStyle name="Style 22 2" xfId="1919" xr:uid="{00000000-0005-0000-0000-000080070000}"/>
    <cellStyle name="Style 22 3" xfId="1920" xr:uid="{00000000-0005-0000-0000-000081070000}"/>
    <cellStyle name="Style 22 4" xfId="1921" xr:uid="{00000000-0005-0000-0000-000082070000}"/>
    <cellStyle name="Style 23" xfId="1922" xr:uid="{00000000-0005-0000-0000-000083070000}"/>
    <cellStyle name="Style 23 2" xfId="1923" xr:uid="{00000000-0005-0000-0000-000084070000}"/>
    <cellStyle name="Style 23 3" xfId="1924" xr:uid="{00000000-0005-0000-0000-000085070000}"/>
    <cellStyle name="Style 23 4" xfId="1925" xr:uid="{00000000-0005-0000-0000-000086070000}"/>
    <cellStyle name="Style 24" xfId="1926" xr:uid="{00000000-0005-0000-0000-000087070000}"/>
    <cellStyle name="Style 24 2" xfId="1927" xr:uid="{00000000-0005-0000-0000-000088070000}"/>
    <cellStyle name="Style 24 3" xfId="1928" xr:uid="{00000000-0005-0000-0000-000089070000}"/>
    <cellStyle name="Style 24 4" xfId="1929" xr:uid="{00000000-0005-0000-0000-00008A070000}"/>
    <cellStyle name="Style 25" xfId="1930" xr:uid="{00000000-0005-0000-0000-00008B070000}"/>
    <cellStyle name="Style 25 2" xfId="1931" xr:uid="{00000000-0005-0000-0000-00008C070000}"/>
    <cellStyle name="Style 25 3" xfId="1932" xr:uid="{00000000-0005-0000-0000-00008D070000}"/>
    <cellStyle name="Style 25 4" xfId="1933" xr:uid="{00000000-0005-0000-0000-00008E070000}"/>
    <cellStyle name="Style 25 5" xfId="1934" xr:uid="{00000000-0005-0000-0000-00008F070000}"/>
    <cellStyle name="Style 26" xfId="1935" xr:uid="{00000000-0005-0000-0000-000090070000}"/>
    <cellStyle name="Style 26 2" xfId="1936" xr:uid="{00000000-0005-0000-0000-000091070000}"/>
    <cellStyle name="Style 26 3" xfId="1937" xr:uid="{00000000-0005-0000-0000-000092070000}"/>
    <cellStyle name="Style 26 4" xfId="1938" xr:uid="{00000000-0005-0000-0000-000093070000}"/>
    <cellStyle name="Style 27" xfId="1939" xr:uid="{00000000-0005-0000-0000-000094070000}"/>
    <cellStyle name="Style 28" xfId="1940" xr:uid="{00000000-0005-0000-0000-000095070000}"/>
    <cellStyle name="Style 29" xfId="1941" xr:uid="{00000000-0005-0000-0000-000096070000}"/>
    <cellStyle name="Style 30" xfId="1942" xr:uid="{00000000-0005-0000-0000-000097070000}"/>
    <cellStyle name="Style 31" xfId="1943" xr:uid="{00000000-0005-0000-0000-000098070000}"/>
    <cellStyle name="Style 32" xfId="1944" xr:uid="{00000000-0005-0000-0000-000099070000}"/>
    <cellStyle name="Style 33" xfId="1945" xr:uid="{00000000-0005-0000-0000-00009A070000}"/>
    <cellStyle name="Style 34" xfId="1946" xr:uid="{00000000-0005-0000-0000-00009B070000}"/>
    <cellStyle name="Style 35" xfId="1947" xr:uid="{00000000-0005-0000-0000-00009C070000}"/>
    <cellStyle name="Suma" xfId="1948" xr:uid="{00000000-0005-0000-0000-00009D070000}"/>
    <cellStyle name="Suma 10" xfId="1949" xr:uid="{00000000-0005-0000-0000-00009E070000}"/>
    <cellStyle name="Suma 10 2" xfId="1950" xr:uid="{00000000-0005-0000-0000-00009F070000}"/>
    <cellStyle name="Suma 10 3" xfId="1951" xr:uid="{00000000-0005-0000-0000-0000A0070000}"/>
    <cellStyle name="Suma 10_CHP" xfId="1952" xr:uid="{00000000-0005-0000-0000-0000A1070000}"/>
    <cellStyle name="Suma 11" xfId="1953" xr:uid="{00000000-0005-0000-0000-0000A2070000}"/>
    <cellStyle name="Suma 11 2" xfId="1954" xr:uid="{00000000-0005-0000-0000-0000A3070000}"/>
    <cellStyle name="Suma 11_CHP" xfId="1955" xr:uid="{00000000-0005-0000-0000-0000A4070000}"/>
    <cellStyle name="Suma 12" xfId="1956" xr:uid="{00000000-0005-0000-0000-0000A5070000}"/>
    <cellStyle name="Suma 13" xfId="1957" xr:uid="{00000000-0005-0000-0000-0000A6070000}"/>
    <cellStyle name="Suma 14" xfId="1958" xr:uid="{00000000-0005-0000-0000-0000A7070000}"/>
    <cellStyle name="Suma 15" xfId="1959" xr:uid="{00000000-0005-0000-0000-0000A8070000}"/>
    <cellStyle name="Suma 2" xfId="1960" xr:uid="{00000000-0005-0000-0000-0000A9070000}"/>
    <cellStyle name="Suma 3" xfId="1961" xr:uid="{00000000-0005-0000-0000-0000AA070000}"/>
    <cellStyle name="Suma 4" xfId="1962" xr:uid="{00000000-0005-0000-0000-0000AB070000}"/>
    <cellStyle name="Suma 5" xfId="1963" xr:uid="{00000000-0005-0000-0000-0000AC070000}"/>
    <cellStyle name="Suma 6" xfId="1964" xr:uid="{00000000-0005-0000-0000-0000AD070000}"/>
    <cellStyle name="Suma 7" xfId="1965" xr:uid="{00000000-0005-0000-0000-0000AE070000}"/>
    <cellStyle name="Suma 8" xfId="1966" xr:uid="{00000000-0005-0000-0000-0000AF070000}"/>
    <cellStyle name="Suma 9" xfId="1967" xr:uid="{00000000-0005-0000-0000-0000B0070000}"/>
    <cellStyle name="Suma 9 2" xfId="1968" xr:uid="{00000000-0005-0000-0000-0000B1070000}"/>
    <cellStyle name="Suma 9 3" xfId="1969" xr:uid="{00000000-0005-0000-0000-0000B2070000}"/>
    <cellStyle name="Suma 9_CHP" xfId="1970" xr:uid="{00000000-0005-0000-0000-0000B3070000}"/>
    <cellStyle name="Suma_CHP" xfId="1971" xr:uid="{00000000-0005-0000-0000-0000B4070000}"/>
    <cellStyle name="Tekst objaśnienia" xfId="1972" xr:uid="{00000000-0005-0000-0000-0000B5070000}"/>
    <cellStyle name="Tekst objaśnienia 10" xfId="1973" xr:uid="{00000000-0005-0000-0000-0000B6070000}"/>
    <cellStyle name="Tekst objaśnienia 10 2" xfId="1974" xr:uid="{00000000-0005-0000-0000-0000B7070000}"/>
    <cellStyle name="Tekst objaśnienia 10 3" xfId="1975" xr:uid="{00000000-0005-0000-0000-0000B8070000}"/>
    <cellStyle name="Tekst objaśnienia 10_COM_BND" xfId="1976" xr:uid="{00000000-0005-0000-0000-0000B9070000}"/>
    <cellStyle name="Tekst objaśnienia 11" xfId="1977" xr:uid="{00000000-0005-0000-0000-0000BA070000}"/>
    <cellStyle name="Tekst objaśnienia 11 2" xfId="1978" xr:uid="{00000000-0005-0000-0000-0000BB070000}"/>
    <cellStyle name="Tekst objaśnienia 12" xfId="1979" xr:uid="{00000000-0005-0000-0000-0000BC070000}"/>
    <cellStyle name="Tekst objaśnienia 13" xfId="1980" xr:uid="{00000000-0005-0000-0000-0000BD070000}"/>
    <cellStyle name="Tekst objaśnienia 14" xfId="1981" xr:uid="{00000000-0005-0000-0000-0000BE070000}"/>
    <cellStyle name="Tekst objaśnienia 15" xfId="1982" xr:uid="{00000000-0005-0000-0000-0000BF070000}"/>
    <cellStyle name="Tekst objaśnienia 2" xfId="1983" xr:uid="{00000000-0005-0000-0000-0000C0070000}"/>
    <cellStyle name="Tekst objaśnienia 3" xfId="1984" xr:uid="{00000000-0005-0000-0000-0000C1070000}"/>
    <cellStyle name="Tekst objaśnienia 4" xfId="1985" xr:uid="{00000000-0005-0000-0000-0000C2070000}"/>
    <cellStyle name="Tekst objaśnienia 5" xfId="1986" xr:uid="{00000000-0005-0000-0000-0000C3070000}"/>
    <cellStyle name="Tekst objaśnienia 6" xfId="1987" xr:uid="{00000000-0005-0000-0000-0000C4070000}"/>
    <cellStyle name="Tekst objaśnienia 7" xfId="1988" xr:uid="{00000000-0005-0000-0000-0000C5070000}"/>
    <cellStyle name="Tekst objaśnienia 8" xfId="1989" xr:uid="{00000000-0005-0000-0000-0000C6070000}"/>
    <cellStyle name="Tekst objaśnienia 9" xfId="1990" xr:uid="{00000000-0005-0000-0000-0000C7070000}"/>
    <cellStyle name="Tekst objaśnienia 9 2" xfId="1991" xr:uid="{00000000-0005-0000-0000-0000C8070000}"/>
    <cellStyle name="Tekst objaśnienia 9 3" xfId="1992" xr:uid="{00000000-0005-0000-0000-0000C9070000}"/>
    <cellStyle name="Tekst objaśnienia 9_COM_BND" xfId="1993" xr:uid="{00000000-0005-0000-0000-0000CA070000}"/>
    <cellStyle name="Tekst objaśnienia_CHP" xfId="1994" xr:uid="{00000000-0005-0000-0000-0000CB070000}"/>
    <cellStyle name="Tekst ostrzeżenia" xfId="1995" xr:uid="{00000000-0005-0000-0000-0000CC070000}"/>
    <cellStyle name="Tekst ostrzeżenia 10" xfId="1996" xr:uid="{00000000-0005-0000-0000-0000CD070000}"/>
    <cellStyle name="Tekst ostrzeżenia 10 2" xfId="1997" xr:uid="{00000000-0005-0000-0000-0000CE070000}"/>
    <cellStyle name="Tekst ostrzeżenia 10 3" xfId="1998" xr:uid="{00000000-0005-0000-0000-0000CF070000}"/>
    <cellStyle name="Tekst ostrzeżenia 10_COM_BND" xfId="1999" xr:uid="{00000000-0005-0000-0000-0000D0070000}"/>
    <cellStyle name="Tekst ostrzeżenia 11" xfId="2000" xr:uid="{00000000-0005-0000-0000-0000D1070000}"/>
    <cellStyle name="Tekst ostrzeżenia 11 2" xfId="2001" xr:uid="{00000000-0005-0000-0000-0000D2070000}"/>
    <cellStyle name="Tekst ostrzeżenia 12" xfId="2002" xr:uid="{00000000-0005-0000-0000-0000D3070000}"/>
    <cellStyle name="Tekst ostrzeżenia 13" xfId="2003" xr:uid="{00000000-0005-0000-0000-0000D4070000}"/>
    <cellStyle name="Tekst ostrzeżenia 14" xfId="2004" xr:uid="{00000000-0005-0000-0000-0000D5070000}"/>
    <cellStyle name="Tekst ostrzeżenia 15" xfId="2005" xr:uid="{00000000-0005-0000-0000-0000D6070000}"/>
    <cellStyle name="Tekst ostrzeżenia 2" xfId="2006" xr:uid="{00000000-0005-0000-0000-0000D7070000}"/>
    <cellStyle name="Tekst ostrzeżenia 3" xfId="2007" xr:uid="{00000000-0005-0000-0000-0000D8070000}"/>
    <cellStyle name="Tekst ostrzeżenia 4" xfId="2008" xr:uid="{00000000-0005-0000-0000-0000D9070000}"/>
    <cellStyle name="Tekst ostrzeżenia 5" xfId="2009" xr:uid="{00000000-0005-0000-0000-0000DA070000}"/>
    <cellStyle name="Tekst ostrzeżenia 6" xfId="2010" xr:uid="{00000000-0005-0000-0000-0000DB070000}"/>
    <cellStyle name="Tekst ostrzeżenia 7" xfId="2011" xr:uid="{00000000-0005-0000-0000-0000DC070000}"/>
    <cellStyle name="Tekst ostrzeżenia 8" xfId="2012" xr:uid="{00000000-0005-0000-0000-0000DD070000}"/>
    <cellStyle name="Tekst ostrzeżenia 9" xfId="2013" xr:uid="{00000000-0005-0000-0000-0000DE070000}"/>
    <cellStyle name="Tekst ostrzeżenia 9 2" xfId="2014" xr:uid="{00000000-0005-0000-0000-0000DF070000}"/>
    <cellStyle name="Tekst ostrzeżenia 9 3" xfId="2015" xr:uid="{00000000-0005-0000-0000-0000E0070000}"/>
    <cellStyle name="Tekst ostrzeżenia 9_COM_BND" xfId="2016" xr:uid="{00000000-0005-0000-0000-0000E1070000}"/>
    <cellStyle name="Tekst ostrzeżenia_CHP" xfId="2017" xr:uid="{00000000-0005-0000-0000-0000E2070000}"/>
    <cellStyle name="Title 2" xfId="2018" xr:uid="{00000000-0005-0000-0000-0000E3070000}"/>
    <cellStyle name="Title 3" xfId="2019" xr:uid="{00000000-0005-0000-0000-0000E4070000}"/>
    <cellStyle name="Total 10" xfId="2020" xr:uid="{00000000-0005-0000-0000-0000E5070000}"/>
    <cellStyle name="Total 11" xfId="2021" xr:uid="{00000000-0005-0000-0000-0000E6070000}"/>
    <cellStyle name="Total 12" xfId="2022" xr:uid="{00000000-0005-0000-0000-0000E7070000}"/>
    <cellStyle name="Total 13" xfId="2023" xr:uid="{00000000-0005-0000-0000-0000E8070000}"/>
    <cellStyle name="Total 14" xfId="2024" xr:uid="{00000000-0005-0000-0000-0000E9070000}"/>
    <cellStyle name="Total 15" xfId="2025" xr:uid="{00000000-0005-0000-0000-0000EA070000}"/>
    <cellStyle name="Total 16" xfId="2026" xr:uid="{00000000-0005-0000-0000-0000EB070000}"/>
    <cellStyle name="Total 17" xfId="2027" xr:uid="{00000000-0005-0000-0000-0000EC070000}"/>
    <cellStyle name="Total 18" xfId="2028" xr:uid="{00000000-0005-0000-0000-0000ED070000}"/>
    <cellStyle name="Total 19" xfId="2029" xr:uid="{00000000-0005-0000-0000-0000EE070000}"/>
    <cellStyle name="Total 2" xfId="2030" xr:uid="{00000000-0005-0000-0000-0000EF070000}"/>
    <cellStyle name="Total 2 2" xfId="2031" xr:uid="{00000000-0005-0000-0000-0000F0070000}"/>
    <cellStyle name="Total 2_CHP" xfId="2032" xr:uid="{00000000-0005-0000-0000-0000F1070000}"/>
    <cellStyle name="Total 20" xfId="2033" xr:uid="{00000000-0005-0000-0000-0000F2070000}"/>
    <cellStyle name="Total 3" xfId="2034" xr:uid="{00000000-0005-0000-0000-0000F3070000}"/>
    <cellStyle name="Total 4" xfId="2035" xr:uid="{00000000-0005-0000-0000-0000F4070000}"/>
    <cellStyle name="Total 5" xfId="2036" xr:uid="{00000000-0005-0000-0000-0000F5070000}"/>
    <cellStyle name="Total 6" xfId="2037" xr:uid="{00000000-0005-0000-0000-0000F6070000}"/>
    <cellStyle name="Total 7" xfId="2038" xr:uid="{00000000-0005-0000-0000-0000F7070000}"/>
    <cellStyle name="Total 8" xfId="2039" xr:uid="{00000000-0005-0000-0000-0000F8070000}"/>
    <cellStyle name="Total 9" xfId="2040" xr:uid="{00000000-0005-0000-0000-0000F9070000}"/>
    <cellStyle name="Tytuł" xfId="2041" xr:uid="{00000000-0005-0000-0000-0000FA070000}"/>
    <cellStyle name="Tytuł 2" xfId="2042" xr:uid="{00000000-0005-0000-0000-0000FB070000}"/>
    <cellStyle name="Tytuł 2 2" xfId="2043" xr:uid="{00000000-0005-0000-0000-0000FC070000}"/>
    <cellStyle name="Tytuł 2 3" xfId="2044" xr:uid="{00000000-0005-0000-0000-0000FD070000}"/>
    <cellStyle name="Tytuł 2_COM_BND" xfId="2045" xr:uid="{00000000-0005-0000-0000-0000FE070000}"/>
    <cellStyle name="Tytuł 3" xfId="2046" xr:uid="{00000000-0005-0000-0000-0000FF070000}"/>
    <cellStyle name="Tytuł 3 2" xfId="2047" xr:uid="{00000000-0005-0000-0000-000000080000}"/>
    <cellStyle name="Tytuł 3 3" xfId="2048" xr:uid="{00000000-0005-0000-0000-000001080000}"/>
    <cellStyle name="Tytuł 3_COM_BND" xfId="2049" xr:uid="{00000000-0005-0000-0000-000002080000}"/>
    <cellStyle name="Tytuł 4" xfId="2050" xr:uid="{00000000-0005-0000-0000-000003080000}"/>
    <cellStyle name="Tytuł 4 2" xfId="2051" xr:uid="{00000000-0005-0000-0000-000004080000}"/>
    <cellStyle name="Tytuł 5" xfId="2052" xr:uid="{00000000-0005-0000-0000-000005080000}"/>
    <cellStyle name="Tytuł 6" xfId="2053" xr:uid="{00000000-0005-0000-0000-000006080000}"/>
    <cellStyle name="Tytuł 7" xfId="2054" xr:uid="{00000000-0005-0000-0000-000007080000}"/>
    <cellStyle name="Tytuł 8" xfId="2055" xr:uid="{00000000-0005-0000-0000-000008080000}"/>
    <cellStyle name="Tytuł_CHP" xfId="2056" xr:uid="{00000000-0005-0000-0000-000009080000}"/>
    <cellStyle name="Überschrift 1 2" xfId="2057" xr:uid="{00000000-0005-0000-0000-00000A080000}"/>
    <cellStyle name="Überschrift 2 2" xfId="2058" xr:uid="{00000000-0005-0000-0000-00000B080000}"/>
    <cellStyle name="Überschrift 3 2" xfId="2059" xr:uid="{00000000-0005-0000-0000-00000C080000}"/>
    <cellStyle name="Überschrift 4 2" xfId="2060" xr:uid="{00000000-0005-0000-0000-00000D080000}"/>
    <cellStyle name="Überschrift 5" xfId="2061" xr:uid="{00000000-0005-0000-0000-00000E080000}"/>
    <cellStyle name="Unprot" xfId="2062" xr:uid="{00000000-0005-0000-0000-00000F080000}"/>
    <cellStyle name="Unprot$" xfId="2063" xr:uid="{00000000-0005-0000-0000-000010080000}"/>
    <cellStyle name="Unprot_2010-09-24_LTP 2010_assumptions" xfId="2064" xr:uid="{00000000-0005-0000-0000-000011080000}"/>
    <cellStyle name="Unprotect" xfId="2065" xr:uid="{00000000-0005-0000-0000-000012080000}"/>
    <cellStyle name="Uwaga" xfId="2066" xr:uid="{00000000-0005-0000-0000-000013080000}"/>
    <cellStyle name="Uwaga 10" xfId="2067" xr:uid="{00000000-0005-0000-0000-000014080000}"/>
    <cellStyle name="Uwaga 10 2" xfId="2068" xr:uid="{00000000-0005-0000-0000-000015080000}"/>
    <cellStyle name="Uwaga 10 3" xfId="2069" xr:uid="{00000000-0005-0000-0000-000016080000}"/>
    <cellStyle name="Uwaga 10 3 2" xfId="2070" xr:uid="{00000000-0005-0000-0000-000017080000}"/>
    <cellStyle name="Uwaga 10 3 2 2" xfId="2071" xr:uid="{00000000-0005-0000-0000-000018080000}"/>
    <cellStyle name="Uwaga 10 3 2 3" xfId="2072" xr:uid="{00000000-0005-0000-0000-000019080000}"/>
    <cellStyle name="Uwaga 10 3 3" xfId="2073" xr:uid="{00000000-0005-0000-0000-00001A080000}"/>
    <cellStyle name="Uwaga 10 3 4" xfId="2074" xr:uid="{00000000-0005-0000-0000-00001B080000}"/>
    <cellStyle name="Uwaga 10 3 4 2" xfId="2075" xr:uid="{00000000-0005-0000-0000-00001C080000}"/>
    <cellStyle name="Uwaga 10 3_CHP" xfId="2076" xr:uid="{00000000-0005-0000-0000-00001D080000}"/>
    <cellStyle name="Uwaga 10_CHP" xfId="2077" xr:uid="{00000000-0005-0000-0000-00001E080000}"/>
    <cellStyle name="Uwaga 11" xfId="2078" xr:uid="{00000000-0005-0000-0000-00001F080000}"/>
    <cellStyle name="Uwaga 11 2" xfId="2079" xr:uid="{00000000-0005-0000-0000-000020080000}"/>
    <cellStyle name="Uwaga 11 2 2" xfId="2080" xr:uid="{00000000-0005-0000-0000-000021080000}"/>
    <cellStyle name="Uwaga 11 2 3" xfId="2081" xr:uid="{00000000-0005-0000-0000-000022080000}"/>
    <cellStyle name="Uwaga 11 3" xfId="2082" xr:uid="{00000000-0005-0000-0000-000023080000}"/>
    <cellStyle name="Uwaga 11 4" xfId="2083" xr:uid="{00000000-0005-0000-0000-000024080000}"/>
    <cellStyle name="Uwaga 11 5" xfId="2084" xr:uid="{00000000-0005-0000-0000-000025080000}"/>
    <cellStyle name="Uwaga 11 5 2" xfId="2085" xr:uid="{00000000-0005-0000-0000-000026080000}"/>
    <cellStyle name="Uwaga 11_CHP" xfId="2086" xr:uid="{00000000-0005-0000-0000-000027080000}"/>
    <cellStyle name="Uwaga 12" xfId="2087" xr:uid="{00000000-0005-0000-0000-000028080000}"/>
    <cellStyle name="Uwaga 13" xfId="2088" xr:uid="{00000000-0005-0000-0000-000029080000}"/>
    <cellStyle name="Uwaga 14" xfId="2089" xr:uid="{00000000-0005-0000-0000-00002A080000}"/>
    <cellStyle name="Uwaga 15" xfId="2090" xr:uid="{00000000-0005-0000-0000-00002B080000}"/>
    <cellStyle name="Uwaga 2" xfId="2091" xr:uid="{00000000-0005-0000-0000-00002C080000}"/>
    <cellStyle name="Uwaga 3" xfId="2092" xr:uid="{00000000-0005-0000-0000-00002D080000}"/>
    <cellStyle name="Uwaga 4" xfId="2093" xr:uid="{00000000-0005-0000-0000-00002E080000}"/>
    <cellStyle name="Uwaga 5" xfId="2094" xr:uid="{00000000-0005-0000-0000-00002F080000}"/>
    <cellStyle name="Uwaga 6" xfId="2095" xr:uid="{00000000-0005-0000-0000-000030080000}"/>
    <cellStyle name="Uwaga 7" xfId="2096" xr:uid="{00000000-0005-0000-0000-000031080000}"/>
    <cellStyle name="Uwaga 8" xfId="2097" xr:uid="{00000000-0005-0000-0000-000032080000}"/>
    <cellStyle name="Uwaga 9" xfId="2098" xr:uid="{00000000-0005-0000-0000-000033080000}"/>
    <cellStyle name="Uwaga 9 2" xfId="2099" xr:uid="{00000000-0005-0000-0000-000034080000}"/>
    <cellStyle name="Uwaga 9 3" xfId="2100" xr:uid="{00000000-0005-0000-0000-000035080000}"/>
    <cellStyle name="Uwaga 9 3 2" xfId="2101" xr:uid="{00000000-0005-0000-0000-000036080000}"/>
    <cellStyle name="Uwaga 9 3 2 2" xfId="2102" xr:uid="{00000000-0005-0000-0000-000037080000}"/>
    <cellStyle name="Uwaga 9 3 2 3" xfId="2103" xr:uid="{00000000-0005-0000-0000-000038080000}"/>
    <cellStyle name="Uwaga 9 3 3" xfId="2104" xr:uid="{00000000-0005-0000-0000-000039080000}"/>
    <cellStyle name="Uwaga 9 3 4" xfId="2105" xr:uid="{00000000-0005-0000-0000-00003A080000}"/>
    <cellStyle name="Uwaga 9 3 4 2" xfId="2106" xr:uid="{00000000-0005-0000-0000-00003B080000}"/>
    <cellStyle name="Uwaga 9 3_CHP" xfId="2107" xr:uid="{00000000-0005-0000-0000-00003C080000}"/>
    <cellStyle name="Uwaga 9_CHP" xfId="2108" xr:uid="{00000000-0005-0000-0000-00003D080000}"/>
    <cellStyle name="Uwaga_Demand" xfId="2109" xr:uid="{00000000-0005-0000-0000-00003E080000}"/>
    <cellStyle name="Valuutta_Layo9704" xfId="2110" xr:uid="{00000000-0005-0000-0000-00003F080000}"/>
    <cellStyle name="Verknüpfte Zelle 2" xfId="2111" xr:uid="{00000000-0005-0000-0000-000040080000}"/>
    <cellStyle name="Währung 2" xfId="2112" xr:uid="{00000000-0005-0000-0000-000041080000}"/>
    <cellStyle name="Währung 2 2" xfId="2113" xr:uid="{00000000-0005-0000-0000-000042080000}"/>
    <cellStyle name="Warnender Text 2" xfId="2114" xr:uid="{00000000-0005-0000-0000-000043080000}"/>
    <cellStyle name="Warning Text 2" xfId="2115" xr:uid="{00000000-0005-0000-0000-000044080000}"/>
    <cellStyle name="Warning Text 3" xfId="2116" xr:uid="{00000000-0005-0000-0000-000045080000}"/>
    <cellStyle name="X10_Figs 21 dec" xfId="2117" xr:uid="{00000000-0005-0000-0000-000046080000}"/>
    <cellStyle name="Zelle überprüfen 2" xfId="2118" xr:uid="{00000000-0005-0000-0000-000047080000}"/>
    <cellStyle name="Złe" xfId="2119" xr:uid="{00000000-0005-0000-0000-000048080000}"/>
    <cellStyle name="Złe 10" xfId="2120" xr:uid="{00000000-0005-0000-0000-000049080000}"/>
    <cellStyle name="Złe 10 2" xfId="2121" xr:uid="{00000000-0005-0000-0000-00004A080000}"/>
    <cellStyle name="Złe 10 3" xfId="2122" xr:uid="{00000000-0005-0000-0000-00004B080000}"/>
    <cellStyle name="Złe 10_COM_BND" xfId="2123" xr:uid="{00000000-0005-0000-0000-00004C080000}"/>
    <cellStyle name="Złe 11" xfId="2124" xr:uid="{00000000-0005-0000-0000-00004D080000}"/>
    <cellStyle name="Złe 11 2" xfId="2125" xr:uid="{00000000-0005-0000-0000-00004E080000}"/>
    <cellStyle name="Złe 12" xfId="2126" xr:uid="{00000000-0005-0000-0000-00004F080000}"/>
    <cellStyle name="Złe 13" xfId="2127" xr:uid="{00000000-0005-0000-0000-000050080000}"/>
    <cellStyle name="Złe 14" xfId="2128" xr:uid="{00000000-0005-0000-0000-000051080000}"/>
    <cellStyle name="Złe 15" xfId="2129" xr:uid="{00000000-0005-0000-0000-000052080000}"/>
    <cellStyle name="Złe 2" xfId="2130" xr:uid="{00000000-0005-0000-0000-000053080000}"/>
    <cellStyle name="Złe 3" xfId="2131" xr:uid="{00000000-0005-0000-0000-000054080000}"/>
    <cellStyle name="Złe 4" xfId="2132" xr:uid="{00000000-0005-0000-0000-000055080000}"/>
    <cellStyle name="Złe 5" xfId="2133" xr:uid="{00000000-0005-0000-0000-000056080000}"/>
    <cellStyle name="Złe 6" xfId="2134" xr:uid="{00000000-0005-0000-0000-000057080000}"/>
    <cellStyle name="Złe 7" xfId="2135" xr:uid="{00000000-0005-0000-0000-000058080000}"/>
    <cellStyle name="Złe 8" xfId="2136" xr:uid="{00000000-0005-0000-0000-000059080000}"/>
    <cellStyle name="Złe 9" xfId="2137" xr:uid="{00000000-0005-0000-0000-00005A080000}"/>
    <cellStyle name="Złe 9 2" xfId="2138" xr:uid="{00000000-0005-0000-0000-00005B080000}"/>
    <cellStyle name="Złe 9 3" xfId="2139" xr:uid="{00000000-0005-0000-0000-00005C080000}"/>
    <cellStyle name="Złe 9_COM_BND" xfId="2140" xr:uid="{00000000-0005-0000-0000-00005D080000}"/>
    <cellStyle name="Złe_CHP" xfId="2141" xr:uid="{00000000-0005-0000-0000-00005E080000}"/>
    <cellStyle name="Обычный_2++_CRFReport-template" xfId="2142" xr:uid="{00000000-0005-0000-0000-00005F080000}"/>
    <cellStyle name="已访问的超链接" xfId="2143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</xdr:colOff>
      <xdr:row>10</xdr:row>
      <xdr:rowOff>110957</xdr:rowOff>
    </xdr:from>
    <xdr:ext cx="7811754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UC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"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𝐸𝐿𝐶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𝐺𝑅𝐼𝐷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𝑅𝐸𝑆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"</m:t>
                        </m:r>
                      </m:e>
                    </m:nary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RHSRTS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𝑒𝑎𝑐h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𝑦𝑒𝑎𝑟</m:t>
                    </m:r>
                  </m:oMath>
                </m:oMathPara>
              </a14:m>
              <a:endParaRPr lang="pl-PL" sz="1600" b="0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∑_𝑝𝑟𝑜𝑐𝑒𝑠▒〖"UC_FLO  x  VAR_FLO" (𝑝𝑟𝑜𝑐𝑒𝑠, "𝐸𝐿𝐶_𝐺𝑅𝐼𝐷_𝑅𝐸𝑆"〗) " "≥"UC_RHSRTS"      𝑓𝑜𝑟  𝑒𝑎𝑐ℎ 𝑦𝑒𝑎𝑟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30"/>
  <sheetViews>
    <sheetView tabSelected="1" zoomScale="114" zoomScaleNormal="115" workbookViewId="0">
      <selection activeCell="B20" sqref="B20"/>
    </sheetView>
  </sheetViews>
  <sheetFormatPr defaultRowHeight="12.75"/>
  <cols>
    <col min="1" max="1" width="2.85546875" customWidth="1"/>
    <col min="2" max="2" width="24.5703125" customWidth="1"/>
    <col min="3" max="3" width="17.5703125" customWidth="1"/>
    <col min="4" max="4" width="18.28515625" customWidth="1"/>
    <col min="5" max="5" width="12.140625" customWidth="1"/>
    <col min="6" max="6" width="12" customWidth="1"/>
    <col min="7" max="7" width="12.5703125" customWidth="1"/>
    <col min="8" max="10" width="12.7109375" customWidth="1"/>
    <col min="11" max="11" width="13.85546875" customWidth="1"/>
    <col min="12" max="15" width="15.28515625" customWidth="1"/>
  </cols>
  <sheetData>
    <row r="2" spans="2:21" ht="15" customHeight="1">
      <c r="B2" s="6" t="s">
        <v>36</v>
      </c>
      <c r="D2" s="10" t="s">
        <v>34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35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0</v>
      </c>
      <c r="F5" s="8"/>
      <c r="G5" s="7"/>
      <c r="H5" s="7"/>
      <c r="I5" s="7"/>
      <c r="L5" s="7"/>
      <c r="M5" s="7"/>
    </row>
    <row r="6" spans="2:21" ht="31.7" customHeight="1"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4" t="s">
        <v>29</v>
      </c>
      <c r="H6" s="14" t="s">
        <v>30</v>
      </c>
      <c r="I6" s="14" t="s">
        <v>31</v>
      </c>
      <c r="J6" s="14" t="s">
        <v>32</v>
      </c>
      <c r="K6" s="14" t="s">
        <v>33</v>
      </c>
      <c r="L6" s="14" t="s">
        <v>6</v>
      </c>
      <c r="M6" s="13" t="s">
        <v>7</v>
      </c>
    </row>
    <row r="7" spans="2:21" ht="47.25" customHeight="1" thickBot="1"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31" t="s">
        <v>17</v>
      </c>
      <c r="H7" s="31"/>
      <c r="I7" s="31"/>
      <c r="J7" s="31"/>
      <c r="K7" s="31"/>
      <c r="L7" s="15" t="s">
        <v>18</v>
      </c>
      <c r="M7" s="15" t="s">
        <v>19</v>
      </c>
    </row>
    <row r="8" spans="2:21" ht="42" customHeight="1" thickBot="1">
      <c r="B8" s="16" t="s">
        <v>8</v>
      </c>
      <c r="C8" s="11" t="s">
        <v>9</v>
      </c>
      <c r="D8" s="16" t="s">
        <v>10</v>
      </c>
      <c r="E8" s="12" t="s">
        <v>11</v>
      </c>
      <c r="F8" s="12">
        <v>1</v>
      </c>
      <c r="G8" s="30">
        <f>0.5*G22</f>
        <v>282.60000000000002</v>
      </c>
      <c r="H8" s="30">
        <f t="shared" ref="H8:K8" si="0">0.5*H22</f>
        <v>349.01712328767064</v>
      </c>
      <c r="I8" s="30">
        <f t="shared" si="0"/>
        <v>414</v>
      </c>
      <c r="J8" s="30">
        <f t="shared" si="0"/>
        <v>476.97493150684971</v>
      </c>
      <c r="K8" s="30">
        <f t="shared" si="0"/>
        <v>540.95383561644087</v>
      </c>
      <c r="L8" s="12">
        <v>5</v>
      </c>
      <c r="M8" s="11"/>
    </row>
    <row r="10" spans="2:21">
      <c r="B10" s="5"/>
    </row>
    <row r="17" spans="3:11">
      <c r="D17" s="5" t="s">
        <v>28</v>
      </c>
    </row>
    <row r="19" spans="3:11">
      <c r="C19" s="17"/>
      <c r="D19" s="18"/>
    </row>
    <row r="20" spans="3:11">
      <c r="D20" s="19" t="s">
        <v>20</v>
      </c>
      <c r="E20" s="20">
        <v>2023</v>
      </c>
      <c r="F20" s="20">
        <v>2025</v>
      </c>
      <c r="G20" s="20">
        <v>2030</v>
      </c>
      <c r="H20" s="20">
        <v>2035</v>
      </c>
      <c r="I20" s="20">
        <v>2040</v>
      </c>
      <c r="J20" s="20">
        <v>2045</v>
      </c>
      <c r="K20" s="20">
        <v>2050</v>
      </c>
    </row>
    <row r="21" spans="3:11" ht="38.25" customHeight="1">
      <c r="D21" s="21" t="s">
        <v>21</v>
      </c>
      <c r="E21" s="32" t="s">
        <v>22</v>
      </c>
      <c r="F21" s="32"/>
      <c r="G21" s="32"/>
      <c r="H21" s="32"/>
      <c r="I21" s="32"/>
      <c r="J21" s="32"/>
      <c r="K21" s="32"/>
    </row>
    <row r="22" spans="3:11">
      <c r="D22" t="s">
        <v>23</v>
      </c>
      <c r="E22" s="22">
        <f t="shared" ref="E22:K22" si="1">E27*3.6</f>
        <v>393.80400000000003</v>
      </c>
      <c r="F22" s="22">
        <f t="shared" si="1"/>
        <v>442.11863013698968</v>
      </c>
      <c r="G22" s="22">
        <f t="shared" si="1"/>
        <v>565.20000000000005</v>
      </c>
      <c r="H22" s="22">
        <f t="shared" si="1"/>
        <v>698.03424657534129</v>
      </c>
      <c r="I22" s="22">
        <f t="shared" si="1"/>
        <v>828</v>
      </c>
      <c r="J22" s="22">
        <f t="shared" si="1"/>
        <v>953.94986301369943</v>
      </c>
      <c r="K22" s="22">
        <f t="shared" si="1"/>
        <v>1081.9076712328817</v>
      </c>
    </row>
    <row r="23" spans="3:11">
      <c r="E23" s="23"/>
      <c r="F23" s="23"/>
      <c r="G23" s="23"/>
      <c r="H23" s="23"/>
      <c r="I23" s="23"/>
      <c r="J23" s="23"/>
      <c r="K23" s="23"/>
    </row>
    <row r="24" spans="3:11">
      <c r="E24" s="24" t="s">
        <v>24</v>
      </c>
      <c r="F24" s="23"/>
      <c r="G24" s="23"/>
      <c r="H24" s="23"/>
      <c r="I24" s="23"/>
      <c r="J24" s="23"/>
      <c r="K24" s="23"/>
    </row>
    <row r="25" spans="3:11">
      <c r="E25" s="23"/>
      <c r="F25" s="23"/>
      <c r="G25" s="23"/>
      <c r="H25" s="23"/>
      <c r="I25" s="23"/>
      <c r="J25" s="23"/>
      <c r="K25" s="23"/>
    </row>
    <row r="26" spans="3:11">
      <c r="E26" s="20">
        <v>2023</v>
      </c>
      <c r="F26" s="20">
        <v>2025</v>
      </c>
      <c r="G26" s="20">
        <v>2030</v>
      </c>
      <c r="H26" s="20">
        <v>2035</v>
      </c>
      <c r="I26" s="20">
        <v>2040</v>
      </c>
      <c r="J26" s="20">
        <v>2045</v>
      </c>
      <c r="K26" s="20">
        <v>2050</v>
      </c>
    </row>
    <row r="27" spans="3:11">
      <c r="D27" s="25" t="s">
        <v>25</v>
      </c>
      <c r="E27" s="26">
        <v>109.39</v>
      </c>
      <c r="F27" s="27">
        <f>_xlfn.FORECAST.LINEAR(2025,{109.39;157;230}, {2023;2030;2040})</f>
        <v>122.81073059360824</v>
      </c>
      <c r="G27" s="26">
        <v>157</v>
      </c>
      <c r="H27" s="27">
        <f>_xlfn.FORECAST.LINEAR(2035,{109.39;157;230}, {2023;2030;2040})</f>
        <v>193.89840182648368</v>
      </c>
      <c r="I27" s="26">
        <v>230</v>
      </c>
      <c r="J27" s="27">
        <f>_xlfn.FORECAST.LINEAR(2045,{109.39;157;230}, {2023;2030;2040})</f>
        <v>264.98607305936093</v>
      </c>
      <c r="K27" s="27">
        <f>_xlfn.FORECAST.LINEAR(2050,{109.39;157;230}, {2023;2030;2040})</f>
        <v>300.52990867580047</v>
      </c>
    </row>
    <row r="29" spans="3:11">
      <c r="E29" s="28" t="s">
        <v>26</v>
      </c>
    </row>
    <row r="30" spans="3:11">
      <c r="E30" s="29"/>
      <c r="F30" s="25" t="s">
        <v>27</v>
      </c>
    </row>
  </sheetData>
  <mergeCells count="2">
    <mergeCell ref="G7:K7"/>
    <mergeCell ref="E21:K2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2" ma:contentTypeDescription="Utwórz nowy dokument." ma:contentTypeScope="" ma:versionID="5ae10a33478425c8b0682342cd902bb6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4d464c5e04a95514152bf5b8c9c7854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F91B0505-87C0-4533-9D1B-20F0309747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690AA4-2973-4C8B-AFF5-174A0EBF4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414681-578E-43B8-8934-BC5759CBC3B5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awyrwa</cp:lastModifiedBy>
  <cp:revision/>
  <dcterms:created xsi:type="dcterms:W3CDTF">2007-09-10T09:34:18Z</dcterms:created>
  <dcterms:modified xsi:type="dcterms:W3CDTF">2026-04-29T09:55:57Z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599156677722930</vt:r8>
  </property>
</Properties>
</file>